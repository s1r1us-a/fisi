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fwkoeln-my.sharepoint.com/personal/bussen_o365-bfw_koeln/Documents/Dokumente/AAA_Hauptmaßnahme/99_Bewerbung/"/>
    </mc:Choice>
  </mc:AlternateContent>
  <xr:revisionPtr revIDLastSave="69" documentId="13_ncr:1_{46B1AFB9-87DC-4361-AA27-8458C30865A9}" xr6:coauthVersionLast="47" xr6:coauthVersionMax="47" xr10:uidLastSave="{2AE23CE2-260C-41AF-B485-E41714090358}"/>
  <bookViews>
    <workbookView xWindow="-108" yWindow="-108" windowWidth="23256" windowHeight="13896" tabRatio="500" xr2:uid="{00000000-000D-0000-FFFF-FFFF00000000}"/>
  </bookViews>
  <sheets>
    <sheet name="📊 Dashboard" sheetId="1" r:id="rId1"/>
    <sheet name="Aktive Bewerbungen" sheetId="2" r:id="rId2"/>
    <sheet name="Pipeline" sheetId="3" r:id="rId3"/>
  </sheets>
  <definedNames>
    <definedName name="_xlnm._FilterDatabase" localSheetId="1" hidden="1">'Aktive Bewerbungen'!$A$5:$K$61</definedName>
    <definedName name="_xlnm._FilterDatabase" localSheetId="2" hidden="1">Pipeline!$A$5:$F$26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G16" i="1"/>
  <c r="C16" i="1"/>
  <c r="G15" i="1"/>
  <c r="C15" i="1"/>
  <c r="G14" i="1"/>
  <c r="C14" i="1"/>
  <c r="G13" i="1"/>
  <c r="C13" i="1"/>
  <c r="G12" i="1"/>
  <c r="C12" i="1"/>
  <c r="G7" i="1"/>
  <c r="F7" i="1"/>
  <c r="E7" i="1"/>
  <c r="D7" i="1"/>
  <c r="C7" i="1"/>
  <c r="B7" i="1"/>
  <c r="D15" i="1" l="1"/>
  <c r="D12" i="1"/>
  <c r="H12" i="1"/>
  <c r="D13" i="1"/>
  <c r="H13" i="1"/>
  <c r="D14" i="1"/>
  <c r="H14" i="1"/>
  <c r="D17" i="1"/>
  <c r="H16" i="1"/>
  <c r="H15" i="1"/>
  <c r="D16" i="1"/>
</calcChain>
</file>

<file path=xl/sharedStrings.xml><?xml version="1.0" encoding="utf-8"?>
<sst xmlns="http://schemas.openxmlformats.org/spreadsheetml/2006/main" count="531" uniqueCount="314">
  <si>
    <t>BEWERBUNGSTRACKER 2026</t>
  </si>
  <si>
    <t>FiAE-Praktikum · Köln &amp; Umgebung · Oktober 2026 – April 2027</t>
  </si>
  <si>
    <t>Gesamt</t>
  </si>
  <si>
    <t>Beworben</t>
  </si>
  <si>
    <t>Nachgefragt</t>
  </si>
  <si>
    <t>Gespräche</t>
  </si>
  <si>
    <t>Zusagen</t>
  </si>
  <si>
    <t>Absagen</t>
  </si>
  <si>
    <t>VERTEILUNG NACH STANDORT</t>
  </si>
  <si>
    <t>VERTEILUNG NACH INTERESSE</t>
  </si>
  <si>
    <t>Standort</t>
  </si>
  <si>
    <t>Anzahl</t>
  </si>
  <si>
    <t>Anteil</t>
  </si>
  <si>
    <t>Interesse</t>
  </si>
  <si>
    <t>Köln</t>
  </si>
  <si>
    <t>Sehr gerne</t>
  </si>
  <si>
    <t>Bergisch Gladbach</t>
  </si>
  <si>
    <t>Gerne</t>
  </si>
  <si>
    <t>Rösrath</t>
  </si>
  <si>
    <t>Ja</t>
  </si>
  <si>
    <t>Troisdorf</t>
  </si>
  <si>
    <t>Joa</t>
  </si>
  <si>
    <t>Siegburg</t>
  </si>
  <si>
    <t>Eher nicht</t>
  </si>
  <si>
    <t>Sonstige</t>
  </si>
  <si>
    <t>AKTIONEN &amp; HINWEISE</t>
  </si>
  <si>
    <t>💡</t>
  </si>
  <si>
    <t>Status-Spalte: Dropdown nutzen – Farben aktualisieren sich automatisch.</t>
  </si>
  <si>
    <t>📅</t>
  </si>
  <si>
    <t>Spalte „Nachgefragt" wird gelb, wenn seit Bewerbung &gt;4 Wochen vergangen sind und noch nicht nachgefragt wurde.</t>
  </si>
  <si>
    <t>🎯</t>
  </si>
  <si>
    <t>Pipeline-Sheet enthält geplante Firmen mit Recherche-Notizen.</t>
  </si>
  <si>
    <t>📌</t>
  </si>
  <si>
    <t>„Nehmen keine"-Einträge stehen ausgegraut am Ende der Liste.</t>
  </si>
  <si>
    <t>Letzte Bearbeitung:</t>
  </si>
  <si>
    <t>20.05.2026</t>
  </si>
  <si>
    <t>AKTIVE BEWERBUNGEN</t>
  </si>
  <si>
    <t>Stand: 20.05.2026  ·  Bewerbungen + Status-Tracking</t>
  </si>
  <si>
    <t>Unternehmen</t>
  </si>
  <si>
    <t>Website</t>
  </si>
  <si>
    <t>Adresse</t>
  </si>
  <si>
    <t>Datum Bewerbung</t>
  </si>
  <si>
    <t>Status</t>
  </si>
  <si>
    <t>Ergebnis</t>
  </si>
  <si>
    <t>Kontakt</t>
  </si>
  <si>
    <t>Notizen</t>
  </si>
  <si>
    <t>Netempire</t>
  </si>
  <si>
    <t>Jobs – Netempire Software GmbH</t>
  </si>
  <si>
    <t>Lüghauser Str. 16, 51503 Rösrath</t>
  </si>
  <si>
    <t>2026-02-18</t>
  </si>
  <si>
    <t>SCOOP</t>
  </si>
  <si>
    <t>Jobs - SCOOP Software</t>
  </si>
  <si>
    <t>Eiler Str. 3P, 51107 Köln</t>
  </si>
  <si>
    <t>2026-02-25</t>
  </si>
  <si>
    <t>bevutaIT</t>
  </si>
  <si>
    <t>Unser Team rund um Köln und überall auf der Welt | bevuta IT</t>
  </si>
  <si>
    <t>Ettore-Bugatti-Straße 35, 51149 Köln</t>
  </si>
  <si>
    <t>mobivention</t>
  </si>
  <si>
    <t>IT-Dienstleister für App Entwicklung, Web Apps &amp; Backends</t>
  </si>
  <si>
    <t>Am bhf 132, 51147 Köln</t>
  </si>
  <si>
    <t>2026-04-15</t>
  </si>
  <si>
    <t>MaProTa Gmbh</t>
  </si>
  <si>
    <t>Karriere - MaProTa GmbH</t>
  </si>
  <si>
    <t>2026-03-11</t>
  </si>
  <si>
    <t>02205-9189170</t>
  </si>
  <si>
    <t>BEWOTEC</t>
  </si>
  <si>
    <t>BEWOTEC Karriere – Jobs &amp; Chancen in der Touristiksoftware</t>
  </si>
  <si>
    <t>Karl-Schiller-Straße 3, 51503 Rösrath</t>
  </si>
  <si>
    <t>ISIFIVE eG</t>
  </si>
  <si>
    <t>Team - ISIFIVE</t>
  </si>
  <si>
    <t>Rösrather Str. 702, 51107 Köln</t>
  </si>
  <si>
    <t>PRODATEC</t>
  </si>
  <si>
    <t>https://www.prodatec.de/karriere</t>
  </si>
  <si>
    <t>Burggraben 7, 51429 Bergisch Gladbach</t>
  </si>
  <si>
    <t>INNEO</t>
  </si>
  <si>
    <t>https://jobs.inneo.com/stellenangebote.html</t>
  </si>
  <si>
    <t>Hansestraße 87, 51149 Köln</t>
  </si>
  <si>
    <t>REWE Digital</t>
  </si>
  <si>
    <t>https://www.rewe-digital.com/de/jobs?location=K%C3%B6ln%2C%20Deutschland&amp;range=25&amp;sort=distance&amp;city[]=K%C3%B6ln&amp;page=1</t>
  </si>
  <si>
    <t>Humboldtstraße 140-144, 51149 Köln</t>
  </si>
  <si>
    <t>CLOUSALE</t>
  </si>
  <si>
    <t>ClouSale: Jobs</t>
  </si>
  <si>
    <t>Hauptstraße 65-67, 51503 Rösrath</t>
  </si>
  <si>
    <t>2026-03-25</t>
  </si>
  <si>
    <t>Ditcon GmbH</t>
  </si>
  <si>
    <t>https://www.ditcon.de/</t>
  </si>
  <si>
    <t>Fuggerstraße 26, 51149 Köln</t>
  </si>
  <si>
    <t>2026-04-01</t>
  </si>
  <si>
    <t>FISI 02203 89860</t>
  </si>
  <si>
    <t>Netrix IT works</t>
  </si>
  <si>
    <t>https://www.netrix-it.de/karriere/</t>
  </si>
  <si>
    <t>Hansestraße 97, 51149 Köln</t>
  </si>
  <si>
    <t>FISI</t>
  </si>
  <si>
    <t>incs</t>
  </si>
  <si>
    <t>https://www.incs.org/ueber-uns/</t>
  </si>
  <si>
    <t>Edmund-Rumpler-Straße 6A, 51149 Köln</t>
  </si>
  <si>
    <t>ableX GmbH</t>
  </si>
  <si>
    <t>Q&amp;A | ableX Data Solutions</t>
  </si>
  <si>
    <t>Karl-Schiller-Str. 1, 51503 Rösrath</t>
  </si>
  <si>
    <t>02205-9499950</t>
  </si>
  <si>
    <t>CGI</t>
  </si>
  <si>
    <t>Frequently Asked Questions (FAQ) | CGI.com</t>
  </si>
  <si>
    <t>Ettore-Bugatti-Straße 6-14, 51149 Köln</t>
  </si>
  <si>
    <t>DerGrünePunkt</t>
  </si>
  <si>
    <t>Karriere | Grüner Punkt</t>
  </si>
  <si>
    <t>Edmund-Rumpler-Straße 7, 51149 Köln</t>
  </si>
  <si>
    <t>It intouch</t>
  </si>
  <si>
    <t>Karriere - Jobs als Mobile Developer bei IT intouch</t>
  </si>
  <si>
    <t>Lustheide 85, 51427 Bergisch Gladbach</t>
  </si>
  <si>
    <t>ED Computer &amp; Design GmbH &amp; Co. KG</t>
  </si>
  <si>
    <t>https://www.edcud.de/systemhaus-dienstleistungen</t>
  </si>
  <si>
    <t>Lina-Bommer-Weg 4, 51149 Köln</t>
  </si>
  <si>
    <t>CBS University of Applied Sciences</t>
  </si>
  <si>
    <t>https://www.cbs.de/ueber-uns/karriere-an-der-cbs/ausbildung-traineeship#traineeship</t>
  </si>
  <si>
    <t>Köln-Rodenkirchen</t>
  </si>
  <si>
    <t>Bahnstraße 6-8 50996 Köln</t>
  </si>
  <si>
    <t>CONVOTIS</t>
  </si>
  <si>
    <t>https://www.convotis.com/karriere/</t>
  </si>
  <si>
    <t xml:space="preserve">Heinz-Fröling-Straße 15 </t>
  </si>
  <si>
    <t>2026-04-22</t>
  </si>
  <si>
    <t>HEES</t>
  </si>
  <si>
    <t>https://hees.de/karriere/initiativbewerbung/</t>
  </si>
  <si>
    <t>Lohmar</t>
  </si>
  <si>
    <t>Hauptstraße 1b, 53797 Lohmar</t>
  </si>
  <si>
    <t>Loco-Soft</t>
  </si>
  <si>
    <t>https://loco-soft.de/kontakt</t>
  </si>
  <si>
    <t>Lindlar</t>
  </si>
  <si>
    <t>Schlosserstraße 33 | D-51789 Lindlar</t>
  </si>
  <si>
    <t>WARETRACKS</t>
  </si>
  <si>
    <t>https://www.waretracks.com/</t>
  </si>
  <si>
    <t>August-Horch-Straße 17, 51149 Köln</t>
  </si>
  <si>
    <t>Novum-RGI</t>
  </si>
  <si>
    <t>https://www.novum-rgi.com/contacts/</t>
  </si>
  <si>
    <t>Durchhäuserhof 65, 51107 Köln</t>
  </si>
  <si>
    <t>2026-04-29</t>
  </si>
  <si>
    <t>genDis solution</t>
  </si>
  <si>
    <t>https://www.gendis.de/</t>
  </si>
  <si>
    <t>Schloßstraße 20, 51429 Bergisch Gladbach</t>
  </si>
  <si>
    <t>Gibt es vermutlich nicht mehr</t>
  </si>
  <si>
    <t>Praxcon</t>
  </si>
  <si>
    <t>https://www.praxcon.de/</t>
  </si>
  <si>
    <t>Schau Ins Land 13, 51429 Bergisch Gladbach</t>
  </si>
  <si>
    <t>kompaktwerk GmbH</t>
  </si>
  <si>
    <t>https://www.kompaktwerk.de/wir-sind-kompaktwerk/</t>
  </si>
  <si>
    <t>Sattlerweg 12 b, 51429 Bergisch Gladbach</t>
  </si>
  <si>
    <t>TecAlliance</t>
  </si>
  <si>
    <t>https://career.tecalliance.net/jobs?split_view=true&amp;query=&amp;location=Cologne</t>
  </si>
  <si>
    <t>Edmund-Rumpler-Straße 5, 51149 Köln</t>
  </si>
  <si>
    <t>Atos</t>
  </si>
  <si>
    <t>https://atos.net/de/join-us?city=118&amp;country=DE</t>
  </si>
  <si>
    <t>Von-der-Wettern-Straße 27, 51149 Köln</t>
  </si>
  <si>
    <t>Eulen-IT</t>
  </si>
  <si>
    <t>https://www.eulen-it.de/karriere#dataItem-lkmqqnjt</t>
  </si>
  <si>
    <t>Untereschbach</t>
  </si>
  <si>
    <t>Brodhausen 1, 51491 Overath</t>
  </si>
  <si>
    <t>bewerbung@eulen-it.de</t>
  </si>
  <si>
    <t>Syntriq GmbH</t>
  </si>
  <si>
    <t>https://syntriq.de/karriere</t>
  </si>
  <si>
    <t>Frankfurter Str. 720/726, 51145 Köln</t>
  </si>
  <si>
    <t>COPA-DATA</t>
  </si>
  <si>
    <t>https://www.copadata.com/de/karriere/</t>
  </si>
  <si>
    <t>jobs-cdde@copadata.com</t>
  </si>
  <si>
    <t>InTradeSys GmbH</t>
  </si>
  <si>
    <t>https://www.intradesys.com/jobs</t>
  </si>
  <si>
    <t>Dillenburger Str. 75, 51105 Köln</t>
  </si>
  <si>
    <t>menten GmbH</t>
  </si>
  <si>
    <t>https://stellenportal.menten.com/de</t>
  </si>
  <si>
    <t>An d. Gohrsmühle 25, 51465 Bergisch Gladbach</t>
  </si>
  <si>
    <t>AB-Informatik GmbH, IT-Systemhaus Siegburg</t>
  </si>
  <si>
    <t>https://www.ab-informatik.net/</t>
  </si>
  <si>
    <t>Am Turm 26, 53721 Siegburg</t>
  </si>
  <si>
    <t>IT-Center Engels</t>
  </si>
  <si>
    <t>https://www.itc-engels.de/impressum</t>
  </si>
  <si>
    <t>Heidegraben 4a, 53842 Troisdorf</t>
  </si>
  <si>
    <t>RA-MICRO Vertriebs GmbH Köln</t>
  </si>
  <si>
    <t>https://ra-micro-koeln.de/</t>
  </si>
  <si>
    <t>Auf d. Kaule 23, 51427 Bergisch Gladbach</t>
  </si>
  <si>
    <t>Schönhofer Sales and Engineering GmbH</t>
  </si>
  <si>
    <t>https://www.schoenhofer.de/unternehmen/jobs/studierende</t>
  </si>
  <si>
    <t>Lindenstraße 92, 53721 Siegburg</t>
  </si>
  <si>
    <t>2026-05-06</t>
  </si>
  <si>
    <t>Melanie Krieger</t>
  </si>
  <si>
    <t>VANTAiO GmbH &amp; Co. KG</t>
  </si>
  <si>
    <t>https://www.vantaio.com/impressum</t>
  </si>
  <si>
    <t>Am Turm 36, 53721 Siegburg</t>
  </si>
  <si>
    <t>360 Consulting GmbH</t>
  </si>
  <si>
    <t>https://www.360-consulting.de/</t>
  </si>
  <si>
    <t>Zollstockgürtel 65, 50969 Köln</t>
  </si>
  <si>
    <t>Frau Lisa SchuppeliusTel.: +49 (221) 99783106-33</t>
  </si>
  <si>
    <t>SoCura</t>
  </si>
  <si>
    <t>https://www.socura.de/karriere/bei-der-socura-arbeiten/stellenangebote/</t>
  </si>
  <si>
    <t>Kaltenbornweg 3, 50679 Köln</t>
  </si>
  <si>
    <t>2026-05-08</t>
  </si>
  <si>
    <t>SB Entwicklung GmbH</t>
  </si>
  <si>
    <t>https://sb-e.de/ueber-uns/#karriere</t>
  </si>
  <si>
    <t>Mülheimer Str. 20, 53840 Troisdorf</t>
  </si>
  <si>
    <t>2026-05-09</t>
  </si>
  <si>
    <t>jobs@sb-e.de</t>
  </si>
  <si>
    <t>ECKD GmbH</t>
  </si>
  <si>
    <t>https://eckd.de/standorte/#koeln</t>
  </si>
  <si>
    <t>Herzogstraße 32, 50667 Köln</t>
  </si>
  <si>
    <t>2026-05-13</t>
  </si>
  <si>
    <t>Frau Rabe</t>
  </si>
  <si>
    <t>HTPS Solutions</t>
  </si>
  <si>
    <t>https://htps-solutions.de/impressum/</t>
  </si>
  <si>
    <t>Neunkirchen-Seelscheid</t>
  </si>
  <si>
    <t>Elsschlade 9, 53819 Neunkirchen-Seelscheid</t>
  </si>
  <si>
    <t>Demic Datentechnik GmbH</t>
  </si>
  <si>
    <t>https://www.demic-datentechnik.de/unternehmen/jobs-und-karriere</t>
  </si>
  <si>
    <t>Ohlenhohnstraße 48, 53819 Neunkirchen-Seelscheid</t>
  </si>
  <si>
    <t>JOLA</t>
  </si>
  <si>
    <t>https://www.jola.de/jobs</t>
  </si>
  <si>
    <t>Ludwig-Erhard-Straße 7, 51503 Rösrath</t>
  </si>
  <si>
    <t>Förderturm Agentur GmbH</t>
  </si>
  <si>
    <t>https://www.foerderturm-agentur.de/impressum/</t>
  </si>
  <si>
    <t>Hauptstraße 226, 51503 Rösrath</t>
  </si>
  <si>
    <t>Systemhaus Kolb GmbH</t>
  </si>
  <si>
    <t>https://systemhaus-kolb.de/karriere/</t>
  </si>
  <si>
    <t>Kürten</t>
  </si>
  <si>
    <t>Kölner Str. 215, 51515 Kürten</t>
  </si>
  <si>
    <t>bewerbung@sh-kolb.de</t>
  </si>
  <si>
    <t>plusserver GmbH</t>
  </si>
  <si>
    <t>https://karriere.plusserver.com/Initiativbewerbung-Quereinsteiger-mwd-de-f900.html</t>
  </si>
  <si>
    <t>Welserstraße 14, 51149 Köln</t>
  </si>
  <si>
    <t>LVR-InfoKom</t>
  </si>
  <si>
    <t>https://www.lvr.de/infokom/karriere/ausbildung-und-studium/</t>
  </si>
  <si>
    <t>Hermann-Pünder-Str. 1, 50679 Köln</t>
  </si>
  <si>
    <t>identpro Systems GmbH</t>
  </si>
  <si>
    <t>https://identpro.de/jobs-und-karriere/#bewerbung</t>
  </si>
  <si>
    <t>Camp-Spich-Straße 4, 53842 Troisdorf, Germany</t>
  </si>
  <si>
    <t>CIDEON Software &amp; Services GmbH &amp; Co. KG</t>
  </si>
  <si>
    <t>https://www.cideon.de/unternehmen/karriere/</t>
  </si>
  <si>
    <t>Frankfurter Straße 35, 53840 Troisdorf</t>
  </si>
  <si>
    <t>Healex GmbH</t>
  </si>
  <si>
    <t>https://healex.systems/kontakt/</t>
  </si>
  <si>
    <t>Sophienstraße 3, 51149 Köln</t>
  </si>
  <si>
    <t>Agheera</t>
  </si>
  <si>
    <t>https://www.agheera.com/privacy-notice</t>
  </si>
  <si>
    <t>August-Horch-Straße 5, 51149 Köln</t>
  </si>
  <si>
    <t>Nehmen keine</t>
  </si>
  <si>
    <t>AOK</t>
  </si>
  <si>
    <t>Intitiativbewerbung bei der Krankenkasse | AOK Karriere</t>
  </si>
  <si>
    <t>Lina-Bommer-Weg 9, 51149 Köln</t>
  </si>
  <si>
    <t>PIPELINE · GEPLANTE BEWERBUNGEN</t>
  </si>
  <si>
    <t>Recherche-Liste · Interesse einschätzen und Status auf „Beworben" setzen, dann in „Aktive Bewerbungen" verschieben</t>
  </si>
  <si>
    <t>Bewerbung bis</t>
  </si>
  <si>
    <t>Notizen / Recherche</t>
  </si>
  <si>
    <t>lise GmbH</t>
  </si>
  <si>
    <t>Butzweilerhof-Allee 2 50829 Köln-Ossendorf</t>
  </si>
  <si>
    <t>Neu</t>
  </si>
  <si>
    <t>Individuelle Softwareentwicklung, über 100 Mitarbeitende, 5× „Great Place to Work" ausgezeichnet (zuletzt 2026 Platz 8) | .NET, SharePoint, DevOps, KI – IHK-Ausbildungsbetrieb seit 2013</t>
  </si>
  <si>
    <t>ifaktor GmbH</t>
  </si>
  <si>
    <t>Bonner Str. 324 50968 Köln-Bayenthal</t>
  </si>
  <si>
    <t>IT-Systemhaus seit über 25 Jahren, Fokus KMU, zertifizierter IHK-Ausbildungsbetrieb | ERP/xRM (MS Dynamics), DMS, Cloud, IT-Sicherheit</t>
  </si>
  <si>
    <t>Webrunners GmbH</t>
  </si>
  <si>
    <t>Von-Werth-Str. 37 50670 Köln-Innenstadt</t>
  </si>
  <si>
    <t>Agentur für individuelle Softwareentwicklung &amp; Webanwendungen, ca. 15 Jahre am Markt | Django/Python, TYPO3, ERP-Schnittstellen – Praktika in Webentwicklung möglich</t>
  </si>
  <si>
    <t>elancer-team GmbH</t>
  </si>
  <si>
    <t>Widdersdorfer Str. 188 50825 Köln-Ehrenfeld</t>
  </si>
  <si>
    <t>Webagentur, 11–50 Mitarbeitende, klassische Agenturstruktur | WordPress, Ruby on Rails, Individualsoftware, App-Entwicklung</t>
  </si>
  <si>
    <t>milkycode GmbH</t>
  </si>
  <si>
    <t>Osterather Str. 7 50739 Köln-Longerich</t>
  </si>
  <si>
    <t>Internetagentur mit Fokus auf E-Commerce-Lösungen für den Mittelstand | Magento, Shopware, WooCommerce, PHP/Laravel/Symfony/VueJS</t>
  </si>
  <si>
    <t>Explicatis GmbH</t>
  </si>
  <si>
    <t>Max-Planck-Str. 6–8 50858 Köln-Junkersdorf</t>
  </si>
  <si>
    <t>Softwareentwicklung &amp; IT-Beratung, dreimal Deloitte „Technology Fast50 Award", eigene Produkte (z. B. Custable) | IoT-Plattformen, Cloud-Native, Mobile Apps – Praktika in Web/Mobile</t>
  </si>
  <si>
    <t>REWE digital GmbH</t>
  </si>
  <si>
    <t>Humboldtstr. 140–144 51149 Köln-Porz</t>
  </si>
  <si>
    <t>IT-Tochter der REWE Group, einer der größten IT-Arbeitgeber im deutschen Handel | Java, Kotlin, Python, Spring, Angular, Kafka – jährliche FiAe-Ausbildung</t>
  </si>
  <si>
    <t>business//acts GmbH</t>
  </si>
  <si>
    <t>Schanzenstr. 7a 51063 Köln-Mülheim</t>
  </si>
  <si>
    <t>CRM-/ECM-Softwarehersteller, eigenes Produkt „sellify", ca. 20 Mitarbeitende | CRM-Entwicklung, ECM – Initiativbewerbung für Praktikum empfohlen</t>
  </si>
  <si>
    <t>Werusys GmbH &amp; Co. KG</t>
  </si>
  <si>
    <t>Kaiser-Wilhelm-Ring 40 50672 Köln (Amtssitz: Morsestr. 4, 50769 Köln)</t>
  </si>
  <si>
    <t>IT-Dienstleister für Prozessindustrie, Teil der Amitec-Gruppe | MES, Energiemanagement, AVEVA PI, eigenes Produkt SynergyVision MES</t>
  </si>
  <si>
    <t>Saticon GmbH</t>
  </si>
  <si>
    <t>Köln (Innenstadt)</t>
  </si>
  <si>
    <t>Webagentur mit Fokus auf Softwareentwicklung und Online-Marketing | Webentwicklung, Webanwendungen, SEO</t>
  </si>
  <si>
    <t>Devside GmbH</t>
  </si>
  <si>
    <t>Köln (HRB 94897)</t>
  </si>
  <si>
    <t>Prozessorientierter Softwareentwickler und App-Dienstleister | Softwareentwicklung, App-Entwicklung</t>
  </si>
  <si>
    <t>inch-media GmbH</t>
  </si>
  <si>
    <t>Braunsberger Feld 12 51429 Bergisch Gladbach-Herkenrath</t>
  </si>
  <si>
    <t>IT-Systemhaus und Webagentur für KMU, 5–9 Mitarbeitende | Webentwicklung, IT-Security – Praktika via Initiativbewerbung</t>
  </si>
  <si>
    <t>SP softwarepartner GmbH</t>
  </si>
  <si>
    <t>Hauptstr. 278 51503 Rösrath-Hoffnungsthal</t>
  </si>
  <si>
    <t>Standard- und Individualsoftware für den Mittelstand, Auftragsentwicklung | Consulting, Coaching, Individualsoftware</t>
  </si>
  <si>
    <t>Sehen-Design e. K.</t>
  </si>
  <si>
    <t>Agentur für Windows-Softwareentwicklung, Einzelunternehmen | C#, Delphi, Windows-Anwendungen</t>
  </si>
  <si>
    <t>tronet GmbH</t>
  </si>
  <si>
    <t>Klevstr. 4 53840 Troisdorf</t>
  </si>
  <si>
    <t>Internet-/Webagentur und Hostingprovider – FiAe-Ausbildung explizit ausgeschrieben | TYPO3, OXID eShop, Web-Anwendungen, Online-Shops, Portale</t>
  </si>
  <si>
    <t>Rohde &amp; Schwarz Sankt Augustin</t>
  </si>
  <si>
    <t>Mühlenweg 27 53757 Sankt Augustin</t>
  </si>
  <si>
    <t>Hochtechnologie-Konzern (Mess-, Funk-, Cyber-Security-Lösungen), weltweit tätig | FiAe-Ausbildung Start 01.01.2026 am Standort Siegburg</t>
  </si>
  <si>
    <t>Campus Computersysteme / citadelle.systems</t>
  </si>
  <si>
    <t>Mottmannstr. 5A 53842 Troisdorf-Oberlar</t>
  </si>
  <si>
    <t>IT-Systemhaus für virtuelle Infrastruktur, Service-Provider-Platz 1 Deutschland 2025 | Cloud, Virtualisierung, IT-Infrastruktur</t>
  </si>
  <si>
    <t>Cideon Software &amp; Services</t>
  </si>
  <si>
    <t>Standort Troisdorf</t>
  </si>
  <si>
    <t>IT-Lösungen für Engineering-/Industrieunternehmen | SAP, Cloud, Digital Transformation</t>
  </si>
  <si>
    <t>Fraunhofer IAIS Sankt Augustin</t>
  </si>
  <si>
    <t>Schloss Birlinghoven 53757 Sankt Augustin</t>
  </si>
  <si>
    <t>Forschungsinstitut für KI, Machine Learning und Big Data, ca. 350 Mitarbeitende | KI, Data Science – regelmäßige Praktika in Anwendungsentwicklung</t>
  </si>
  <si>
    <t>Currenta GmbH &amp; Co. OHG</t>
  </si>
  <si>
    <t>Kaiser-Wilhelm-Allee 80 51373 Leverkusen (Chempark)</t>
  </si>
  <si>
    <t>Chempark-Betreiber, ca. 5.300 Mitarbeitende inkl. Töchter, eigene IT-Abteilung | Java, C#, Python, Datenbanken – FiAe-Ausbildung ab 01.09.2026 (1.204–1.389 €/Mon.)</t>
  </si>
  <si>
    <t>Pronova BKK</t>
  </si>
  <si>
    <t>Horst-Henning-Platz 1 51373 Leverkusen</t>
  </si>
  <si>
    <t>Gesetzliche Krankenkasse mit eigener Softwareentwicklung | Versicherungssoftware – FiAe-Ausbildung ab 01.08.2026</t>
  </si>
  <si>
    <t>oxalis Individualsoftware GmbH</t>
  </si>
  <si>
    <t>https://oxalis.de/de/#contact</t>
  </si>
  <si>
    <t>Dülkenstraße, 51143 Köln</t>
  </si>
  <si>
    <t>Absage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</si>
</sst>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i/>
      <sz val="11"/>
      <color rgb="FF595959"/>
      <name val="Calibri"/>
      <charset val="1"/>
    </font>
    <font>
      <b/>
      <sz val="10"/>
      <color rgb="FFFFFFFF"/>
      <name val="Calibri"/>
      <charset val="1"/>
    </font>
    <font>
      <b/>
      <sz val="20"/>
      <color rgb="FF2E2E4D"/>
      <name val="Calibri"/>
      <charset val="1"/>
    </font>
    <font>
      <b/>
      <sz val="20"/>
      <color rgb="FF1F4E79"/>
      <name val="Calibri"/>
      <charset val="1"/>
    </font>
    <font>
      <b/>
      <sz val="20"/>
      <color rgb="FFBF8F00"/>
      <name val="Calibri"/>
      <charset val="1"/>
    </font>
    <font>
      <b/>
      <sz val="20"/>
      <color rgb="FF375623"/>
      <name val="Calibri"/>
      <charset val="1"/>
    </font>
    <font>
      <b/>
      <sz val="20"/>
      <color rgb="FF548235"/>
      <name val="Calibri"/>
      <charset val="1"/>
    </font>
    <font>
      <b/>
      <sz val="20"/>
      <color rgb="FF9C0006"/>
      <name val="Calibri"/>
      <charset val="1"/>
    </font>
    <font>
      <b/>
      <sz val="12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1F4E79"/>
      <name val="Calibri"/>
      <charset val="1"/>
    </font>
    <font>
      <b/>
      <sz val="10"/>
      <color rgb="FF595959"/>
      <name val="Calibri"/>
      <charset val="1"/>
    </font>
    <font>
      <b/>
      <sz val="10"/>
      <color rgb="FF9C0006"/>
      <name val="Calibri"/>
      <charset val="1"/>
    </font>
    <font>
      <sz val="12"/>
      <name val="Calibri"/>
      <charset val="1"/>
    </font>
    <font>
      <sz val="10"/>
      <color rgb="FF404040"/>
      <name val="Calibri"/>
      <charset val="1"/>
    </font>
    <font>
      <i/>
      <sz val="9"/>
      <color rgb="FF808080"/>
      <name val="Calibri"/>
      <charset val="1"/>
    </font>
    <font>
      <b/>
      <sz val="18"/>
      <color rgb="FFFFFFFF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b/>
      <sz val="10"/>
      <color rgb="FF806000"/>
      <name val="Calibri"/>
      <charset val="1"/>
    </font>
    <font>
      <b/>
      <sz val="10"/>
      <color rgb="FF404040"/>
      <name val="Calibri"/>
      <charset val="1"/>
    </font>
    <font>
      <i/>
      <sz val="10"/>
      <color rgb="FFA0A0A0"/>
      <name val="Calibri"/>
      <charset val="1"/>
    </font>
    <font>
      <b/>
      <sz val="10"/>
      <color rgb="FF2E75B6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rgb="FF1A1A2E"/>
        <bgColor rgb="FF2E2E4D"/>
      </patternFill>
    </fill>
    <fill>
      <patternFill patternType="solid">
        <fgColor rgb="FF2E2E4D"/>
        <bgColor rgb="FF404040"/>
      </patternFill>
    </fill>
    <fill>
      <patternFill patternType="solid">
        <fgColor rgb="FF1F4E79"/>
        <bgColor rgb="FF4A4A7A"/>
      </patternFill>
    </fill>
    <fill>
      <patternFill patternType="solid">
        <fgColor rgb="FFBF8F00"/>
        <bgColor rgb="FFC65911"/>
      </patternFill>
    </fill>
    <fill>
      <patternFill patternType="solid">
        <fgColor rgb="FF375623"/>
        <bgColor rgb="FF404040"/>
      </patternFill>
    </fill>
    <fill>
      <patternFill patternType="solid">
        <fgColor rgb="FF548235"/>
        <bgColor rgb="FF595959"/>
      </patternFill>
    </fill>
    <fill>
      <patternFill patternType="solid">
        <fgColor rgb="FF9C0006"/>
        <bgColor rgb="FF800000"/>
      </patternFill>
    </fill>
    <fill>
      <patternFill patternType="solid">
        <fgColor rgb="FFF8F8FB"/>
        <bgColor rgb="FFF4F4F9"/>
      </patternFill>
    </fill>
    <fill>
      <patternFill patternType="solid">
        <fgColor rgb="FF4A4A7A"/>
        <bgColor rgb="FF595959"/>
      </patternFill>
    </fill>
    <fill>
      <patternFill patternType="solid">
        <fgColor rgb="FFF4F4F9"/>
        <bgColor rgb="FFF2F2F2"/>
      </patternFill>
    </fill>
    <fill>
      <patternFill patternType="solid">
        <fgColor rgb="FF70AD47"/>
        <bgColor rgb="FF548235"/>
      </patternFill>
    </fill>
    <fill>
      <patternFill patternType="solid">
        <fgColor rgb="FFC6E0B4"/>
        <bgColor rgb="FFD9D9D9"/>
      </patternFill>
    </fill>
    <fill>
      <patternFill patternType="solid">
        <fgColor rgb="FFDDEBF7"/>
        <bgColor rgb="FFDCE6F5"/>
      </patternFill>
    </fill>
    <fill>
      <patternFill patternType="solid">
        <fgColor rgb="FFF2F2F2"/>
        <bgColor rgb="FFF4F4F9"/>
      </patternFill>
    </fill>
    <fill>
      <patternFill patternType="solid">
        <fgColor rgb="FFF4B7B7"/>
        <bgColor rgb="FFC8C8D8"/>
      </patternFill>
    </fill>
    <fill>
      <patternFill patternType="solid">
        <fgColor rgb="FFDCE6F5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E4D5F0"/>
      </patternFill>
    </fill>
    <fill>
      <patternFill patternType="solid">
        <fgColor rgb="FFEEEEEE"/>
        <bgColor rgb="FFF2F2F2"/>
      </patternFill>
    </fill>
    <fill>
      <patternFill patternType="solid">
        <fgColor rgb="FFA6A6A6"/>
        <bgColor rgb="FFA0A0A0"/>
      </patternFill>
    </fill>
  </fills>
  <borders count="2">
    <border>
      <left/>
      <right/>
      <top/>
      <bottom/>
      <diagonal/>
    </border>
    <border>
      <left style="thin">
        <color rgb="FFC8C8D8"/>
      </left>
      <right style="thin">
        <color rgb="FFC8C8D8"/>
      </right>
      <top style="thin">
        <color rgb="FFC8C8D8"/>
      </top>
      <bottom style="thin">
        <color rgb="FFC8C8D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indent="1"/>
    </xf>
    <xf numFmtId="0" fontId="11" fillId="11" borderId="1" xfId="0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 indent="1"/>
    </xf>
    <xf numFmtId="0" fontId="13" fillId="14" borderId="1" xfId="0" applyFont="1" applyFill="1" applyBorder="1" applyAlignment="1">
      <alignment horizontal="left" vertical="center" indent="1"/>
    </xf>
    <xf numFmtId="0" fontId="14" fillId="15" borderId="1" xfId="0" applyFont="1" applyFill="1" applyBorder="1" applyAlignment="1">
      <alignment horizontal="left" vertical="center" indent="1"/>
    </xf>
    <xf numFmtId="0" fontId="15" fillId="16" borderId="1" xfId="0" applyFont="1" applyFill="1" applyBorder="1" applyAlignment="1">
      <alignment horizontal="left" vertical="center" inden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0" fontId="3" fillId="1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 indent="1"/>
    </xf>
    <xf numFmtId="0" fontId="12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 indent="1"/>
    </xf>
    <xf numFmtId="0" fontId="24" fillId="20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1" fillId="11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Standard" xfId="0" builtinId="0"/>
  </cellStyles>
  <dxfs count="31">
    <dxf>
      <font>
        <b/>
        <sz val="10"/>
        <color rgb="FF2E75B6"/>
        <name val="Calibri"/>
        <charset val="1"/>
      </font>
      <fill>
        <patternFill>
          <bgColor rgb="FFDDEBF7"/>
        </patternFill>
      </fill>
    </dxf>
    <dxf>
      <font>
        <b/>
        <sz val="10"/>
        <color rgb="FFFFFFFF"/>
        <name val="Calibri"/>
        <charset val="1"/>
      </font>
      <fill>
        <patternFill>
          <bgColor rgb="FFA6A6A6"/>
        </patternFill>
      </fill>
    </dxf>
    <dxf>
      <font>
        <b/>
        <sz val="10"/>
        <color rgb="FF404040"/>
        <name val="Calibri"/>
        <charset val="1"/>
      </font>
      <fill>
        <patternFill>
          <bgColor rgb="FFD9D9D9"/>
        </patternFill>
      </fill>
    </dxf>
    <dxf>
      <font>
        <b/>
        <sz val="10"/>
        <color rgb="FF9C0006"/>
        <name val="Calibri"/>
        <charset val="1"/>
      </font>
      <fill>
        <patternFill>
          <bgColor rgb="FFF4B7B7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75623"/>
        <name val="Calibri"/>
        <charset val="1"/>
      </font>
      <fill>
        <patternFill>
          <bgColor rgb="FFC6E0B4"/>
        </patternFill>
      </fill>
    </dxf>
    <dxf>
      <font>
        <b/>
        <sz val="10"/>
        <color rgb="FF5B2D8A"/>
        <name val="Calibri"/>
        <charset val="1"/>
      </font>
      <fill>
        <patternFill>
          <bgColor rgb="FFE4D5F0"/>
        </patternFill>
      </fill>
    </dxf>
    <dxf>
      <font>
        <b/>
        <sz val="10"/>
        <color rgb="FF806000"/>
        <name val="Calibri"/>
        <charset val="1"/>
      </font>
      <fill>
        <patternFill>
          <bgColor rgb="FFFFF2CC"/>
        </patternFill>
      </fill>
    </dxf>
    <dxf>
      <font>
        <b/>
        <sz val="10"/>
        <color rgb="FF1F4E79"/>
        <name val="Calibri"/>
        <charset val="1"/>
      </font>
      <fill>
        <patternFill>
          <bgColor rgb="FFDCE6F5"/>
        </patternFill>
      </fill>
    </dxf>
    <dxf>
      <font>
        <b/>
        <sz val="10"/>
        <color rgb="FF9C5700"/>
        <name val="Calibri"/>
        <charset val="1"/>
      </font>
      <fill>
        <patternFill>
          <bgColor rgb="FFFFE699"/>
        </patternFill>
      </fill>
    </dxf>
    <dxf>
      <font>
        <b/>
        <sz val="10"/>
        <color rgb="FF9C0006"/>
        <name val="Calibri"/>
        <charset val="1"/>
      </font>
      <fill>
        <patternFill>
          <bgColor rgb="FFF4B7B7"/>
        </patternFill>
      </fill>
    </dxf>
    <dxf>
      <font>
        <b/>
        <sz val="10"/>
        <color rgb="FF595959"/>
        <name val="Calibri"/>
        <charset val="1"/>
      </font>
      <fill>
        <patternFill>
          <bgColor rgb="FFF2F2F2"/>
        </patternFill>
      </fill>
    </dxf>
    <dxf>
      <font>
        <b/>
        <sz val="10"/>
        <color rgb="FF1F4E79"/>
        <name val="Calibri"/>
        <charset val="1"/>
      </font>
      <fill>
        <patternFill>
          <bgColor rgb="FFDDEBF7"/>
        </patternFill>
      </fill>
    </dxf>
    <dxf>
      <font>
        <b/>
        <sz val="10"/>
        <color rgb="FF375623"/>
        <name val="Calibri"/>
        <charset val="1"/>
      </font>
      <fill>
        <patternFill>
          <bgColor rgb="FFC6E0B4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C65911"/>
        <name val="Calibri"/>
        <charset val="1"/>
      </font>
      <fill>
        <patternFill>
          <bgColor rgb="FFFCE4D6"/>
        </patternFill>
      </fill>
    </dxf>
    <dxf>
      <font>
        <b/>
        <sz val="10"/>
        <color rgb="FF2E75B6"/>
        <name val="Calibri"/>
        <charset val="1"/>
      </font>
      <fill>
        <patternFill>
          <bgColor rgb="FFDDEBF7"/>
        </patternFill>
      </fill>
    </dxf>
    <dxf>
      <font>
        <b/>
        <sz val="10"/>
        <color rgb="FFFFFFFF"/>
        <name val="Calibri"/>
        <charset val="1"/>
      </font>
      <fill>
        <patternFill>
          <bgColor rgb="FFA6A6A6"/>
        </patternFill>
      </fill>
    </dxf>
    <dxf>
      <font>
        <b/>
        <sz val="10"/>
        <color rgb="FF404040"/>
        <name val="Calibri"/>
        <charset val="1"/>
      </font>
      <fill>
        <patternFill>
          <bgColor rgb="FFD9D9D9"/>
        </patternFill>
      </fill>
    </dxf>
    <dxf>
      <font>
        <b/>
        <sz val="10"/>
        <color rgb="FF9C0006"/>
        <name val="Calibri"/>
        <charset val="1"/>
      </font>
      <fill>
        <patternFill>
          <bgColor rgb="FFF4B7B7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375623"/>
        <name val="Calibri"/>
        <charset val="1"/>
      </font>
      <fill>
        <patternFill>
          <bgColor rgb="FFC6E0B4"/>
        </patternFill>
      </fill>
    </dxf>
    <dxf>
      <font>
        <b/>
        <sz val="10"/>
        <color rgb="FF5B2D8A"/>
        <name val="Calibri"/>
        <charset val="1"/>
      </font>
      <fill>
        <patternFill>
          <bgColor rgb="FFE4D5F0"/>
        </patternFill>
      </fill>
    </dxf>
    <dxf>
      <font>
        <b/>
        <sz val="10"/>
        <color rgb="FF806000"/>
        <name val="Calibri"/>
        <charset val="1"/>
      </font>
      <fill>
        <patternFill>
          <bgColor rgb="FFFFF2CC"/>
        </patternFill>
      </fill>
    </dxf>
    <dxf>
      <font>
        <b/>
        <sz val="10"/>
        <color rgb="FF1F4E79"/>
        <name val="Calibri"/>
        <charset val="1"/>
      </font>
      <fill>
        <patternFill>
          <bgColor rgb="FFDCE6F5"/>
        </patternFill>
      </fill>
    </dxf>
    <dxf>
      <font>
        <b/>
        <sz val="10"/>
        <color rgb="FF9C0006"/>
        <name val="Calibri"/>
        <charset val="1"/>
      </font>
      <fill>
        <patternFill>
          <bgColor rgb="FFF4B7B7"/>
        </patternFill>
      </fill>
    </dxf>
    <dxf>
      <font>
        <b/>
        <sz val="10"/>
        <color rgb="FF595959"/>
        <name val="Calibri"/>
        <charset val="1"/>
      </font>
      <fill>
        <patternFill>
          <bgColor rgb="FFF2F2F2"/>
        </patternFill>
      </fill>
    </dxf>
    <dxf>
      <font>
        <b/>
        <sz val="10"/>
        <color rgb="FF1F4E79"/>
        <name val="Calibri"/>
        <charset val="1"/>
      </font>
      <fill>
        <patternFill>
          <bgColor rgb="FFDDEBF7"/>
        </patternFill>
      </fill>
    </dxf>
    <dxf>
      <font>
        <b/>
        <sz val="10"/>
        <color rgb="FF375623"/>
        <name val="Calibri"/>
        <charset val="1"/>
      </font>
      <fill>
        <patternFill>
          <bgColor rgb="FFC6E0B4"/>
        </patternFill>
      </fill>
    </dxf>
    <dxf>
      <font>
        <b/>
        <sz val="10"/>
        <color rgb="FFFFFFFF"/>
        <name val="Calibri"/>
        <charset val="1"/>
      </font>
      <fill>
        <patternFill>
          <bgColor rgb="FF70AD47"/>
        </patternFill>
      </fill>
    </dxf>
    <dxf>
      <font>
        <b/>
        <sz val="10"/>
        <color rgb="FF9C5700"/>
        <name val="Calibri"/>
        <charset val="1"/>
      </font>
      <fill>
        <patternFill>
          <bgColor rgb="FFFFE6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375623"/>
      <rgbColor rgb="FF000080"/>
      <rgbColor rgb="FF806000"/>
      <rgbColor rgb="FF800080"/>
      <rgbColor rgb="FF008080"/>
      <rgbColor rgb="FFC8C8D8"/>
      <rgbColor rgb="FF808080"/>
      <rgbColor rgb="FFA6A6A6"/>
      <rgbColor rgb="FF4A4A7A"/>
      <rgbColor rgb="FFFFF2CC"/>
      <rgbColor rgb="FFDDEBF7"/>
      <rgbColor rgb="FF660066"/>
      <rgbColor rgb="FFFF8080"/>
      <rgbColor rgb="FF0066CC"/>
      <rgbColor rgb="FFE4D5F0"/>
      <rgbColor rgb="FF000080"/>
      <rgbColor rgb="FFFF00FF"/>
      <rgbColor rgb="FFF4F4F9"/>
      <rgbColor rgb="FF00FFFF"/>
      <rgbColor rgb="FF800080"/>
      <rgbColor rgb="FF800000"/>
      <rgbColor rgb="FF008080"/>
      <rgbColor rgb="FF0000FF"/>
      <rgbColor rgb="FF00CCFF"/>
      <rgbColor rgb="FFDCE6F5"/>
      <rgbColor rgb="FFC6E0B4"/>
      <rgbColor rgb="FFFFE699"/>
      <rgbColor rgb="FFD9D9D9"/>
      <rgbColor rgb="FFFCE4D6"/>
      <rgbColor rgb="FFEEEEEE"/>
      <rgbColor rgb="FFF4B7B7"/>
      <rgbColor rgb="FF2E75B6"/>
      <rgbColor rgb="FF33CCCC"/>
      <rgbColor rgb="FF70AD47"/>
      <rgbColor rgb="FFF8F8FB"/>
      <rgbColor rgb="FFBF8F00"/>
      <rgbColor rgb="FFC65911"/>
      <rgbColor rgb="FF595959"/>
      <rgbColor rgb="FFA0A0A0"/>
      <rgbColor rgb="FF1F4E79"/>
      <rgbColor rgb="FF548235"/>
      <rgbColor rgb="FF1A1A2E"/>
      <rgbColor rgb="FF404040"/>
      <rgbColor rgb="FF9C5700"/>
      <rgbColor rgb="FF993366"/>
      <rgbColor rgb="FF5B2D8A"/>
      <rgbColor rgb="FF2E2E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5"/>
  <sheetViews>
    <sheetView showGridLines="0" tabSelected="1" topLeftCell="A3" zoomScaleNormal="100" workbookViewId="0">
      <selection activeCell="I28" sqref="I28"/>
    </sheetView>
  </sheetViews>
  <sheetFormatPr baseColWidth="10" defaultColWidth="8.6640625" defaultRowHeight="14.4" x14ac:dyDescent="0.3"/>
  <cols>
    <col min="1" max="1" width="2" customWidth="1"/>
    <col min="2" max="6" width="16" customWidth="1"/>
    <col min="7" max="8" width="10" customWidth="1"/>
  </cols>
  <sheetData>
    <row r="2" spans="2:8" ht="24.75" customHeight="1" x14ac:dyDescent="0.3">
      <c r="B2" s="49" t="s">
        <v>0</v>
      </c>
      <c r="C2" s="49"/>
      <c r="D2" s="49"/>
      <c r="E2" s="49"/>
      <c r="F2" s="49"/>
      <c r="G2" s="49"/>
    </row>
    <row r="3" spans="2:8" ht="24.75" customHeight="1" x14ac:dyDescent="0.3">
      <c r="B3" s="49"/>
      <c r="C3" s="49"/>
      <c r="D3" s="49"/>
      <c r="E3" s="49"/>
      <c r="F3" s="49"/>
      <c r="G3" s="49"/>
    </row>
    <row r="4" spans="2:8" ht="19.5" customHeight="1" x14ac:dyDescent="0.3">
      <c r="B4" s="50" t="s">
        <v>1</v>
      </c>
      <c r="C4" s="50"/>
      <c r="D4" s="50"/>
      <c r="E4" s="50"/>
      <c r="F4" s="50"/>
      <c r="G4" s="50"/>
    </row>
    <row r="6" spans="2:8" ht="21.75" customHeight="1" x14ac:dyDescent="0.3">
      <c r="B6" s="1" t="s">
        <v>2</v>
      </c>
      <c r="C6" s="2" t="s">
        <v>3</v>
      </c>
      <c r="D6" s="3" t="s">
        <v>4</v>
      </c>
      <c r="E6" s="4" t="s">
        <v>5</v>
      </c>
      <c r="F6" s="5" t="s">
        <v>6</v>
      </c>
      <c r="G6" s="6" t="s">
        <v>7</v>
      </c>
    </row>
    <row r="7" spans="2:8" ht="39.75" customHeight="1" x14ac:dyDescent="0.3">
      <c r="B7" s="7">
        <f>COUNTA('Aktive Bewerbungen'!A6:A100)</f>
        <v>57</v>
      </c>
      <c r="C7" s="8">
        <f>COUNTIF('Aktive Bewerbungen'!H6:H100,"Beworben")</f>
        <v>26</v>
      </c>
      <c r="D7" s="9">
        <f>COUNTIF('Aktive Bewerbungen'!H6:H100,"Nachgefragt")</f>
        <v>1</v>
      </c>
      <c r="E7" s="10">
        <f>COUNTIF('Aktive Bewerbungen'!H6:H100,"Vorstellungsgespräch")</f>
        <v>0</v>
      </c>
      <c r="F7" s="11">
        <f>COUNTIF('Aktive Bewerbungen'!H6:H100,"Zusage")</f>
        <v>0</v>
      </c>
      <c r="G7" s="12">
        <f>COUNTIF('Aktive Bewerbungen'!H6:H100,"Absage")</f>
        <v>28</v>
      </c>
    </row>
    <row r="10" spans="2:8" ht="21.75" customHeight="1" x14ac:dyDescent="0.3">
      <c r="B10" s="51" t="s">
        <v>8</v>
      </c>
      <c r="C10" s="51"/>
      <c r="D10" s="51"/>
      <c r="F10" s="51" t="s">
        <v>9</v>
      </c>
      <c r="G10" s="51"/>
      <c r="H10" s="51"/>
    </row>
    <row r="11" spans="2:8" x14ac:dyDescent="0.3">
      <c r="B11" s="13" t="s">
        <v>10</v>
      </c>
      <c r="C11" s="13" t="s">
        <v>11</v>
      </c>
      <c r="D11" s="13" t="s">
        <v>12</v>
      </c>
      <c r="F11" s="13" t="s">
        <v>13</v>
      </c>
      <c r="G11" s="13" t="s">
        <v>11</v>
      </c>
      <c r="H11" s="13" t="s">
        <v>12</v>
      </c>
    </row>
    <row r="12" spans="2:8" x14ac:dyDescent="0.3">
      <c r="B12" s="14" t="s">
        <v>14</v>
      </c>
      <c r="C12" s="15">
        <f>COUNTIF('Aktive Bewerbungen'!D6:D100,"*Köln*")</f>
        <v>29</v>
      </c>
      <c r="D12" s="16">
        <f t="shared" ref="D12:D17" si="0">IFERROR(C12/$C$7,0)</f>
        <v>1.1153846153846154</v>
      </c>
      <c r="F12" s="17" t="s">
        <v>15</v>
      </c>
      <c r="G12" s="15">
        <f>COUNTIF('Aktive Bewerbungen'!B6:B100,"Sehr gerne")</f>
        <v>3</v>
      </c>
      <c r="H12" s="16">
        <f>IFERROR(G12/$C$7,0)</f>
        <v>0.11538461538461539</v>
      </c>
    </row>
    <row r="13" spans="2:8" x14ac:dyDescent="0.3">
      <c r="B13" s="18" t="s">
        <v>16</v>
      </c>
      <c r="C13" s="19">
        <f>COUNTIF('Aktive Bewerbungen'!D6:D100,"*Bergisch Gladbach*")</f>
        <v>8</v>
      </c>
      <c r="D13" s="20">
        <f t="shared" si="0"/>
        <v>0.30769230769230771</v>
      </c>
      <c r="F13" s="21" t="s">
        <v>17</v>
      </c>
      <c r="G13" s="19">
        <f>COUNTIF('Aktive Bewerbungen'!B6:B100,"Gerne")</f>
        <v>7</v>
      </c>
      <c r="H13" s="20">
        <f>IFERROR(G13/$C$7,0)</f>
        <v>0.26923076923076922</v>
      </c>
    </row>
    <row r="14" spans="2:8" x14ac:dyDescent="0.3">
      <c r="B14" s="14" t="s">
        <v>18</v>
      </c>
      <c r="C14" s="15">
        <f>COUNTIF('Aktive Bewerbungen'!D6:D100,"*Rösrath*")</f>
        <v>7</v>
      </c>
      <c r="D14" s="16">
        <f t="shared" si="0"/>
        <v>0.26923076923076922</v>
      </c>
      <c r="F14" s="22" t="s">
        <v>19</v>
      </c>
      <c r="G14" s="15">
        <f>COUNTIF('Aktive Bewerbungen'!B6:B100,"Ja")</f>
        <v>12</v>
      </c>
      <c r="H14" s="16">
        <f>IFERROR(G14/$C$7,0)</f>
        <v>0.46153846153846156</v>
      </c>
    </row>
    <row r="15" spans="2:8" x14ac:dyDescent="0.3">
      <c r="B15" s="18" t="s">
        <v>20</v>
      </c>
      <c r="C15" s="19">
        <f>COUNTIF('Aktive Bewerbungen'!D6:D100,"*Troisdorf*")</f>
        <v>3</v>
      </c>
      <c r="D15" s="20">
        <f t="shared" si="0"/>
        <v>0.11538461538461539</v>
      </c>
      <c r="F15" s="23" t="s">
        <v>21</v>
      </c>
      <c r="G15" s="19">
        <f>COUNTIF('Aktive Bewerbungen'!B6:B100,"Joa")</f>
        <v>9</v>
      </c>
      <c r="H15" s="20">
        <f>IFERROR(G15/$C$7,0)</f>
        <v>0.34615384615384615</v>
      </c>
    </row>
    <row r="16" spans="2:8" x14ac:dyDescent="0.3">
      <c r="B16" s="14" t="s">
        <v>22</v>
      </c>
      <c r="C16" s="15">
        <f>COUNTIF('Aktive Bewerbungen'!D6:D100,"*Siegburg*")</f>
        <v>3</v>
      </c>
      <c r="D16" s="16">
        <f t="shared" si="0"/>
        <v>0.11538461538461539</v>
      </c>
      <c r="F16" s="24" t="s">
        <v>23</v>
      </c>
      <c r="G16" s="15">
        <f>COUNTIF('Aktive Bewerbungen'!B6:B100,"Eher nicht")</f>
        <v>1</v>
      </c>
      <c r="H16" s="16">
        <f>IFERROR(G16/$C$7,0)</f>
        <v>3.8461538461538464E-2</v>
      </c>
    </row>
    <row r="17" spans="2:8" x14ac:dyDescent="0.3">
      <c r="B17" s="18" t="s">
        <v>24</v>
      </c>
      <c r="C17" s="19">
        <f>COUNTA('Aktive Bewerbungen'!D6:D100)-COUNTIF('Aktive Bewerbungen'!D6:D100,"*Köln*")-COUNTIF('Aktive Bewerbungen'!D6:D100,"*Bergisch Gladbach*")-COUNTIF('Aktive Bewerbungen'!D6:D100,"*Rösrath*")-COUNTIF('Aktive Bewerbungen'!D6:D100,"*Troisdorf*")-COUNTIF('Aktive Bewerbungen'!D6:D100,"*Siegburg*")</f>
        <v>6</v>
      </c>
      <c r="D17" s="20">
        <f t="shared" si="0"/>
        <v>0.23076923076923078</v>
      </c>
    </row>
    <row r="19" spans="2:8" ht="21.75" customHeight="1" x14ac:dyDescent="0.3">
      <c r="B19" s="51" t="s">
        <v>25</v>
      </c>
      <c r="C19" s="51"/>
      <c r="D19" s="51"/>
      <c r="E19" s="51"/>
      <c r="F19" s="51"/>
      <c r="G19" s="51"/>
      <c r="H19" s="51"/>
    </row>
    <row r="20" spans="2:8" ht="18" customHeight="1" x14ac:dyDescent="0.3">
      <c r="B20" s="25" t="s">
        <v>26</v>
      </c>
      <c r="C20" s="48" t="s">
        <v>27</v>
      </c>
      <c r="D20" s="48"/>
      <c r="E20" s="48"/>
      <c r="F20" s="48"/>
      <c r="G20" s="48"/>
      <c r="H20" s="48"/>
    </row>
    <row r="21" spans="2:8" ht="18" customHeight="1" x14ac:dyDescent="0.3">
      <c r="B21" s="25" t="s">
        <v>28</v>
      </c>
      <c r="C21" s="48" t="s">
        <v>29</v>
      </c>
      <c r="D21" s="48"/>
      <c r="E21" s="48"/>
      <c r="F21" s="48"/>
      <c r="G21" s="48"/>
      <c r="H21" s="48"/>
    </row>
    <row r="22" spans="2:8" ht="18" customHeight="1" x14ac:dyDescent="0.3">
      <c r="B22" s="25" t="s">
        <v>30</v>
      </c>
      <c r="C22" s="48" t="s">
        <v>31</v>
      </c>
      <c r="D22" s="48"/>
      <c r="E22" s="48"/>
      <c r="F22" s="48"/>
      <c r="G22" s="48"/>
      <c r="H22" s="48"/>
    </row>
    <row r="23" spans="2:8" ht="18" customHeight="1" x14ac:dyDescent="0.3">
      <c r="B23" s="25" t="s">
        <v>32</v>
      </c>
      <c r="C23" s="48" t="s">
        <v>33</v>
      </c>
      <c r="D23" s="48"/>
      <c r="E23" s="48"/>
      <c r="F23" s="48"/>
      <c r="G23" s="48"/>
      <c r="H23" s="48"/>
    </row>
    <row r="25" spans="2:8" x14ac:dyDescent="0.3">
      <c r="B25" s="26" t="s">
        <v>34</v>
      </c>
      <c r="C25" s="26" t="s">
        <v>35</v>
      </c>
    </row>
  </sheetData>
  <mergeCells count="9">
    <mergeCell ref="C20:H20"/>
    <mergeCell ref="C21:H21"/>
    <mergeCell ref="C22:H22"/>
    <mergeCell ref="C23:H23"/>
    <mergeCell ref="B2:G3"/>
    <mergeCell ref="B4:G4"/>
    <mergeCell ref="B10:D10"/>
    <mergeCell ref="F10:H10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64" sqref="H64"/>
    </sheetView>
  </sheetViews>
  <sheetFormatPr baseColWidth="10" defaultColWidth="8.6640625" defaultRowHeight="14.4" x14ac:dyDescent="0.3"/>
  <cols>
    <col min="1" max="1" width="32" customWidth="1"/>
    <col min="2" max="2" width="12" customWidth="1"/>
    <col min="3" max="3" width="38" customWidth="1"/>
    <col min="4" max="4" width="18" customWidth="1"/>
    <col min="5" max="5" width="38" customWidth="1"/>
    <col min="6" max="7" width="14" customWidth="1"/>
    <col min="8" max="8" width="16" customWidth="1"/>
    <col min="9" max="9" width="14" customWidth="1"/>
    <col min="10" max="10" width="22" customWidth="1"/>
    <col min="11" max="11" width="35" customWidth="1"/>
  </cols>
  <sheetData>
    <row r="1" spans="1:11" ht="30" customHeight="1" x14ac:dyDescent="0.3">
      <c r="A1" s="52" t="s">
        <v>36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8" customHeight="1" x14ac:dyDescent="0.3">
      <c r="A2" s="53" t="s">
        <v>37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6" customHeight="1" x14ac:dyDescent="0.3"/>
    <row r="5" spans="1:11" ht="27.75" customHeight="1" x14ac:dyDescent="0.3">
      <c r="A5" s="27" t="s">
        <v>38</v>
      </c>
      <c r="B5" s="27" t="s">
        <v>13</v>
      </c>
      <c r="C5" s="27" t="s">
        <v>39</v>
      </c>
      <c r="D5" s="27" t="s">
        <v>10</v>
      </c>
      <c r="E5" s="27" t="s">
        <v>40</v>
      </c>
      <c r="F5" s="27" t="s">
        <v>41</v>
      </c>
      <c r="G5" s="27" t="s">
        <v>4</v>
      </c>
      <c r="H5" s="27" t="s">
        <v>42</v>
      </c>
      <c r="I5" s="27" t="s">
        <v>43</v>
      </c>
      <c r="J5" s="27" t="s">
        <v>44</v>
      </c>
      <c r="K5" s="27" t="s">
        <v>45</v>
      </c>
    </row>
    <row r="6" spans="1:11" x14ac:dyDescent="0.3">
      <c r="A6" s="28" t="s">
        <v>46</v>
      </c>
      <c r="B6" s="29" t="s">
        <v>15</v>
      </c>
      <c r="C6" s="30" t="s">
        <v>47</v>
      </c>
      <c r="D6" s="30" t="s">
        <v>18</v>
      </c>
      <c r="E6" s="28" t="s">
        <v>48</v>
      </c>
      <c r="F6" s="31" t="s">
        <v>49</v>
      </c>
      <c r="G6" s="31"/>
      <c r="H6" s="32" t="s">
        <v>313</v>
      </c>
      <c r="I6" s="31"/>
      <c r="J6" s="28"/>
      <c r="K6" s="28"/>
    </row>
    <row r="7" spans="1:11" x14ac:dyDescent="0.3">
      <c r="A7" s="33" t="s">
        <v>50</v>
      </c>
      <c r="B7" s="34" t="s">
        <v>17</v>
      </c>
      <c r="C7" s="35" t="s">
        <v>51</v>
      </c>
      <c r="D7" s="35" t="s">
        <v>14</v>
      </c>
      <c r="E7" s="33" t="s">
        <v>52</v>
      </c>
      <c r="F7" s="36" t="s">
        <v>53</v>
      </c>
      <c r="G7" s="36"/>
      <c r="H7" s="32" t="s">
        <v>313</v>
      </c>
      <c r="I7" s="36"/>
      <c r="J7" s="33"/>
      <c r="K7" s="33"/>
    </row>
    <row r="8" spans="1:11" ht="27.6" x14ac:dyDescent="0.3">
      <c r="A8" s="28" t="s">
        <v>54</v>
      </c>
      <c r="B8" s="29" t="s">
        <v>15</v>
      </c>
      <c r="C8" s="30" t="s">
        <v>55</v>
      </c>
      <c r="D8" s="30" t="s">
        <v>14</v>
      </c>
      <c r="E8" s="28" t="s">
        <v>56</v>
      </c>
      <c r="F8" s="31" t="s">
        <v>53</v>
      </c>
      <c r="G8" s="31"/>
      <c r="H8" s="32" t="s">
        <v>313</v>
      </c>
      <c r="I8" s="31"/>
      <c r="J8" s="28"/>
      <c r="K8" s="28"/>
    </row>
    <row r="9" spans="1:11" ht="27.6" x14ac:dyDescent="0.3">
      <c r="A9" s="33" t="s">
        <v>57</v>
      </c>
      <c r="B9" s="34" t="s">
        <v>17</v>
      </c>
      <c r="C9" s="35" t="s">
        <v>58</v>
      </c>
      <c r="D9" s="35" t="s">
        <v>14</v>
      </c>
      <c r="E9" s="33" t="s">
        <v>59</v>
      </c>
      <c r="F9" s="36" t="s">
        <v>53</v>
      </c>
      <c r="G9" s="36" t="s">
        <v>60</v>
      </c>
      <c r="H9" s="37" t="s">
        <v>4</v>
      </c>
      <c r="I9" s="36"/>
      <c r="J9" s="33"/>
      <c r="K9" s="33"/>
    </row>
    <row r="10" spans="1:11" x14ac:dyDescent="0.3">
      <c r="A10" s="28" t="s">
        <v>61</v>
      </c>
      <c r="B10" s="29" t="s">
        <v>15</v>
      </c>
      <c r="C10" s="30" t="s">
        <v>62</v>
      </c>
      <c r="D10" s="30" t="s">
        <v>18</v>
      </c>
      <c r="E10" s="28" t="s">
        <v>48</v>
      </c>
      <c r="F10" s="31" t="s">
        <v>63</v>
      </c>
      <c r="G10" s="31"/>
      <c r="H10" s="32" t="s">
        <v>3</v>
      </c>
      <c r="I10" s="31"/>
      <c r="J10" s="28" t="s">
        <v>64</v>
      </c>
      <c r="K10" s="28"/>
    </row>
    <row r="11" spans="1:11" ht="27.6" x14ac:dyDescent="0.3">
      <c r="A11" s="33" t="s">
        <v>65</v>
      </c>
      <c r="B11" s="38" t="s">
        <v>19</v>
      </c>
      <c r="C11" s="35" t="s">
        <v>66</v>
      </c>
      <c r="D11" s="35" t="s">
        <v>18</v>
      </c>
      <c r="E11" s="33" t="s">
        <v>67</v>
      </c>
      <c r="F11" s="36" t="s">
        <v>63</v>
      </c>
      <c r="G11" s="36" t="s">
        <v>60</v>
      </c>
      <c r="H11" s="37" t="s">
        <v>313</v>
      </c>
      <c r="I11" s="36"/>
      <c r="J11" s="33"/>
      <c r="K11" s="33"/>
    </row>
    <row r="12" spans="1:11" x14ac:dyDescent="0.3">
      <c r="A12" s="28" t="s">
        <v>68</v>
      </c>
      <c r="B12" s="38" t="s">
        <v>19</v>
      </c>
      <c r="C12" s="30" t="s">
        <v>69</v>
      </c>
      <c r="D12" s="30" t="s">
        <v>14</v>
      </c>
      <c r="E12" s="28" t="s">
        <v>70</v>
      </c>
      <c r="F12" s="31" t="s">
        <v>63</v>
      </c>
      <c r="G12" s="31" t="s">
        <v>60</v>
      </c>
      <c r="H12" s="37" t="s">
        <v>313</v>
      </c>
      <c r="I12" s="31"/>
      <c r="J12" s="28"/>
      <c r="K12" s="28"/>
    </row>
    <row r="13" spans="1:11" x14ac:dyDescent="0.3">
      <c r="A13" s="33" t="s">
        <v>71</v>
      </c>
      <c r="B13" s="38" t="s">
        <v>19</v>
      </c>
      <c r="C13" s="35" t="s">
        <v>72</v>
      </c>
      <c r="D13" s="35" t="s">
        <v>16</v>
      </c>
      <c r="E13" s="33" t="s">
        <v>73</v>
      </c>
      <c r="F13" s="36" t="s">
        <v>63</v>
      </c>
      <c r="G13" s="36" t="s">
        <v>60</v>
      </c>
      <c r="H13" s="37" t="s">
        <v>313</v>
      </c>
      <c r="I13" s="36"/>
      <c r="J13" s="33"/>
      <c r="K13" s="33"/>
    </row>
    <row r="14" spans="1:11" x14ac:dyDescent="0.3">
      <c r="A14" s="28" t="s">
        <v>74</v>
      </c>
      <c r="B14" s="34" t="s">
        <v>17</v>
      </c>
      <c r="C14" s="30" t="s">
        <v>75</v>
      </c>
      <c r="D14" s="30" t="s">
        <v>14</v>
      </c>
      <c r="E14" s="28" t="s">
        <v>76</v>
      </c>
      <c r="F14" s="31" t="s">
        <v>63</v>
      </c>
      <c r="G14" s="31"/>
      <c r="H14" s="32" t="s">
        <v>313</v>
      </c>
      <c r="I14" s="31"/>
      <c r="J14" s="28"/>
      <c r="K14" s="28"/>
    </row>
    <row r="15" spans="1:11" ht="55.2" x14ac:dyDescent="0.3">
      <c r="A15" s="33" t="s">
        <v>77</v>
      </c>
      <c r="B15" s="34" t="s">
        <v>17</v>
      </c>
      <c r="C15" s="35" t="s">
        <v>78</v>
      </c>
      <c r="D15" s="35" t="s">
        <v>14</v>
      </c>
      <c r="E15" s="33" t="s">
        <v>79</v>
      </c>
      <c r="F15" s="36" t="s">
        <v>63</v>
      </c>
      <c r="G15" s="36" t="s">
        <v>60</v>
      </c>
      <c r="H15" s="37" t="s">
        <v>313</v>
      </c>
      <c r="I15" s="36"/>
      <c r="J15" s="33"/>
      <c r="K15" s="33"/>
    </row>
    <row r="16" spans="1:11" x14ac:dyDescent="0.3">
      <c r="A16" s="28" t="s">
        <v>80</v>
      </c>
      <c r="B16" s="39" t="s">
        <v>21</v>
      </c>
      <c r="C16" s="30" t="s">
        <v>81</v>
      </c>
      <c r="D16" s="30" t="s">
        <v>18</v>
      </c>
      <c r="E16" s="28" t="s">
        <v>82</v>
      </c>
      <c r="F16" s="31" t="s">
        <v>83</v>
      </c>
      <c r="G16" s="31"/>
      <c r="H16" s="32" t="s">
        <v>313</v>
      </c>
      <c r="I16" s="31"/>
      <c r="J16" s="28"/>
      <c r="K16" s="28"/>
    </row>
    <row r="17" spans="1:11" x14ac:dyDescent="0.3">
      <c r="A17" s="33" t="s">
        <v>84</v>
      </c>
      <c r="B17" s="39" t="s">
        <v>21</v>
      </c>
      <c r="C17" s="35" t="s">
        <v>85</v>
      </c>
      <c r="D17" s="35" t="s">
        <v>14</v>
      </c>
      <c r="E17" s="33" t="s">
        <v>86</v>
      </c>
      <c r="F17" s="36" t="s">
        <v>87</v>
      </c>
      <c r="G17" s="36"/>
      <c r="H17" s="32" t="s">
        <v>3</v>
      </c>
      <c r="I17" s="36"/>
      <c r="J17" s="33" t="s">
        <v>88</v>
      </c>
      <c r="K17" s="33"/>
    </row>
    <row r="18" spans="1:11" x14ac:dyDescent="0.3">
      <c r="A18" s="28" t="s">
        <v>89</v>
      </c>
      <c r="B18" s="34" t="s">
        <v>17</v>
      </c>
      <c r="C18" s="30" t="s">
        <v>90</v>
      </c>
      <c r="D18" s="30" t="s">
        <v>14</v>
      </c>
      <c r="E18" s="28" t="s">
        <v>91</v>
      </c>
      <c r="F18" s="31" t="s">
        <v>87</v>
      </c>
      <c r="G18" s="31"/>
      <c r="H18" s="32" t="s">
        <v>3</v>
      </c>
      <c r="I18" s="31"/>
      <c r="J18" s="28" t="s">
        <v>92</v>
      </c>
      <c r="K18" s="28"/>
    </row>
    <row r="19" spans="1:11" x14ac:dyDescent="0.3">
      <c r="A19" s="33" t="s">
        <v>93</v>
      </c>
      <c r="B19" s="39" t="s">
        <v>21</v>
      </c>
      <c r="C19" s="35" t="s">
        <v>94</v>
      </c>
      <c r="D19" s="35" t="s">
        <v>14</v>
      </c>
      <c r="E19" s="33" t="s">
        <v>95</v>
      </c>
      <c r="F19" s="36" t="s">
        <v>87</v>
      </c>
      <c r="G19" s="36"/>
      <c r="H19" s="32" t="s">
        <v>313</v>
      </c>
      <c r="I19" s="36"/>
      <c r="J19" s="33"/>
      <c r="K19" s="33"/>
    </row>
    <row r="20" spans="1:11" x14ac:dyDescent="0.3">
      <c r="A20" s="28" t="s">
        <v>96</v>
      </c>
      <c r="B20" s="39" t="s">
        <v>21</v>
      </c>
      <c r="C20" s="30" t="s">
        <v>97</v>
      </c>
      <c r="D20" s="30" t="s">
        <v>18</v>
      </c>
      <c r="E20" s="28" t="s">
        <v>98</v>
      </c>
      <c r="F20" s="31" t="s">
        <v>87</v>
      </c>
      <c r="G20" s="31"/>
      <c r="H20" s="32" t="s">
        <v>3</v>
      </c>
      <c r="I20" s="31"/>
      <c r="J20" s="28" t="s">
        <v>99</v>
      </c>
      <c r="K20" s="28"/>
    </row>
    <row r="21" spans="1:11" x14ac:dyDescent="0.3">
      <c r="A21" s="33" t="s">
        <v>100</v>
      </c>
      <c r="B21" s="38" t="s">
        <v>19</v>
      </c>
      <c r="C21" s="35" t="s">
        <v>101</v>
      </c>
      <c r="D21" s="35" t="s">
        <v>14</v>
      </c>
      <c r="E21" s="33" t="s">
        <v>102</v>
      </c>
      <c r="F21" s="36" t="s">
        <v>87</v>
      </c>
      <c r="G21" s="36"/>
      <c r="H21" s="32" t="s">
        <v>313</v>
      </c>
      <c r="I21" s="36"/>
      <c r="J21" s="33"/>
      <c r="K21" s="33"/>
    </row>
    <row r="22" spans="1:11" x14ac:dyDescent="0.3">
      <c r="A22" s="28" t="s">
        <v>103</v>
      </c>
      <c r="B22" s="34" t="s">
        <v>17</v>
      </c>
      <c r="C22" s="30" t="s">
        <v>104</v>
      </c>
      <c r="D22" s="30" t="s">
        <v>14</v>
      </c>
      <c r="E22" s="28" t="s">
        <v>105</v>
      </c>
      <c r="F22" s="31" t="s">
        <v>87</v>
      </c>
      <c r="G22" s="31"/>
      <c r="H22" s="32" t="s">
        <v>313</v>
      </c>
      <c r="I22" s="31"/>
      <c r="J22" s="28"/>
      <c r="K22" s="28"/>
    </row>
    <row r="23" spans="1:11" ht="27.6" x14ac:dyDescent="0.3">
      <c r="A23" s="33" t="s">
        <v>106</v>
      </c>
      <c r="B23" s="39" t="s">
        <v>21</v>
      </c>
      <c r="C23" s="35" t="s">
        <v>107</v>
      </c>
      <c r="D23" s="35" t="s">
        <v>16</v>
      </c>
      <c r="E23" s="33" t="s">
        <v>108</v>
      </c>
      <c r="F23" s="36" t="s">
        <v>60</v>
      </c>
      <c r="G23" s="36"/>
      <c r="H23" s="32" t="s">
        <v>313</v>
      </c>
      <c r="I23" s="36"/>
      <c r="J23" s="33"/>
      <c r="K23" s="33"/>
    </row>
    <row r="24" spans="1:11" ht="27.6" x14ac:dyDescent="0.3">
      <c r="A24" s="28" t="s">
        <v>109</v>
      </c>
      <c r="B24" s="39" t="s">
        <v>21</v>
      </c>
      <c r="C24" s="30" t="s">
        <v>110</v>
      </c>
      <c r="D24" s="30" t="s">
        <v>14</v>
      </c>
      <c r="E24" s="28" t="s">
        <v>111</v>
      </c>
      <c r="F24" s="31" t="s">
        <v>60</v>
      </c>
      <c r="G24" s="31"/>
      <c r="H24" s="32" t="s">
        <v>313</v>
      </c>
      <c r="I24" s="31"/>
      <c r="J24" s="28"/>
      <c r="K24" s="28"/>
    </row>
    <row r="25" spans="1:11" ht="27.6" x14ac:dyDescent="0.3">
      <c r="A25" s="33" t="s">
        <v>112</v>
      </c>
      <c r="B25" s="38" t="s">
        <v>19</v>
      </c>
      <c r="C25" s="35" t="s">
        <v>113</v>
      </c>
      <c r="D25" s="35" t="s">
        <v>114</v>
      </c>
      <c r="E25" s="33" t="s">
        <v>115</v>
      </c>
      <c r="F25" s="36" t="s">
        <v>60</v>
      </c>
      <c r="G25" s="36"/>
      <c r="H25" s="32" t="s">
        <v>313</v>
      </c>
      <c r="I25" s="36"/>
      <c r="J25" s="33"/>
      <c r="K25" s="33"/>
    </row>
    <row r="26" spans="1:11" x14ac:dyDescent="0.3">
      <c r="A26" s="28" t="s">
        <v>116</v>
      </c>
      <c r="B26" s="38" t="s">
        <v>19</v>
      </c>
      <c r="C26" s="30" t="s">
        <v>117</v>
      </c>
      <c r="D26" s="30" t="s">
        <v>16</v>
      </c>
      <c r="E26" s="28" t="s">
        <v>118</v>
      </c>
      <c r="F26" s="31" t="s">
        <v>119</v>
      </c>
      <c r="G26" s="31"/>
      <c r="H26" s="32" t="s">
        <v>313</v>
      </c>
      <c r="I26" s="31"/>
      <c r="J26" s="28"/>
      <c r="K26" s="28"/>
    </row>
    <row r="27" spans="1:11" x14ac:dyDescent="0.3">
      <c r="A27" s="33" t="s">
        <v>120</v>
      </c>
      <c r="B27" s="38" t="s">
        <v>19</v>
      </c>
      <c r="C27" s="35" t="s">
        <v>121</v>
      </c>
      <c r="D27" s="35" t="s">
        <v>122</v>
      </c>
      <c r="E27" s="33" t="s">
        <v>123</v>
      </c>
      <c r="F27" s="36" t="s">
        <v>119</v>
      </c>
      <c r="G27" s="36"/>
      <c r="H27" s="32" t="s">
        <v>313</v>
      </c>
      <c r="I27" s="36"/>
      <c r="J27" s="33"/>
      <c r="K27" s="33"/>
    </row>
    <row r="28" spans="1:11" x14ac:dyDescent="0.3">
      <c r="A28" s="28" t="s">
        <v>124</v>
      </c>
      <c r="B28" s="38" t="s">
        <v>19</v>
      </c>
      <c r="C28" s="30" t="s">
        <v>125</v>
      </c>
      <c r="D28" s="30" t="s">
        <v>126</v>
      </c>
      <c r="E28" s="28" t="s">
        <v>127</v>
      </c>
      <c r="F28" s="31" t="s">
        <v>119</v>
      </c>
      <c r="G28" s="31"/>
      <c r="H28" s="32" t="s">
        <v>3</v>
      </c>
      <c r="I28" s="31"/>
      <c r="J28" s="28"/>
      <c r="K28" s="28"/>
    </row>
    <row r="29" spans="1:11" x14ac:dyDescent="0.3">
      <c r="A29" s="33" t="s">
        <v>128</v>
      </c>
      <c r="B29" s="36"/>
      <c r="C29" s="35" t="s">
        <v>129</v>
      </c>
      <c r="D29" s="35" t="s">
        <v>14</v>
      </c>
      <c r="E29" s="33" t="s">
        <v>130</v>
      </c>
      <c r="F29" s="36" t="s">
        <v>119</v>
      </c>
      <c r="G29" s="36"/>
      <c r="H29" s="32" t="s">
        <v>3</v>
      </c>
      <c r="I29" s="36"/>
      <c r="J29" s="33"/>
      <c r="K29" s="33"/>
    </row>
    <row r="30" spans="1:11" x14ac:dyDescent="0.3">
      <c r="A30" s="28" t="s">
        <v>131</v>
      </c>
      <c r="B30" s="34" t="s">
        <v>17</v>
      </c>
      <c r="C30" s="30" t="s">
        <v>132</v>
      </c>
      <c r="D30" s="30" t="s">
        <v>14</v>
      </c>
      <c r="E30" s="28" t="s">
        <v>133</v>
      </c>
      <c r="F30" s="31" t="s">
        <v>134</v>
      </c>
      <c r="G30" s="31"/>
      <c r="H30" s="32" t="s">
        <v>3</v>
      </c>
      <c r="I30" s="31"/>
      <c r="J30" s="28"/>
      <c r="K30" s="28"/>
    </row>
    <row r="31" spans="1:11" ht="27.6" x14ac:dyDescent="0.3">
      <c r="A31" s="33" t="s">
        <v>135</v>
      </c>
      <c r="B31" s="39" t="s">
        <v>21</v>
      </c>
      <c r="C31" s="35" t="s">
        <v>136</v>
      </c>
      <c r="D31" s="35" t="s">
        <v>16</v>
      </c>
      <c r="E31" s="33" t="s">
        <v>137</v>
      </c>
      <c r="F31" s="36" t="s">
        <v>134</v>
      </c>
      <c r="G31" s="36"/>
      <c r="H31" s="32" t="s">
        <v>3</v>
      </c>
      <c r="I31" s="36"/>
      <c r="J31" s="33" t="s">
        <v>138</v>
      </c>
      <c r="K31" s="33"/>
    </row>
    <row r="32" spans="1:11" x14ac:dyDescent="0.3">
      <c r="A32" s="28" t="s">
        <v>139</v>
      </c>
      <c r="B32" s="38" t="s">
        <v>19</v>
      </c>
      <c r="C32" s="30" t="s">
        <v>140</v>
      </c>
      <c r="D32" s="30" t="s">
        <v>16</v>
      </c>
      <c r="E32" s="28" t="s">
        <v>141</v>
      </c>
      <c r="F32" s="31" t="s">
        <v>134</v>
      </c>
      <c r="G32" s="31"/>
      <c r="H32" s="32" t="s">
        <v>3</v>
      </c>
      <c r="I32" s="31"/>
      <c r="J32" s="28"/>
      <c r="K32" s="28"/>
    </row>
    <row r="33" spans="1:11" ht="27.6" x14ac:dyDescent="0.3">
      <c r="A33" s="33" t="s">
        <v>142</v>
      </c>
      <c r="B33" s="40" t="s">
        <v>23</v>
      </c>
      <c r="C33" s="35" t="s">
        <v>143</v>
      </c>
      <c r="D33" s="35" t="s">
        <v>16</v>
      </c>
      <c r="E33" s="33" t="s">
        <v>144</v>
      </c>
      <c r="F33" s="36" t="s">
        <v>134</v>
      </c>
      <c r="G33" s="36"/>
      <c r="H33" s="32" t="s">
        <v>3</v>
      </c>
      <c r="I33" s="36"/>
      <c r="J33" s="33"/>
      <c r="K33" s="33"/>
    </row>
    <row r="34" spans="1:11" ht="27.6" x14ac:dyDescent="0.3">
      <c r="A34" s="28" t="s">
        <v>145</v>
      </c>
      <c r="B34" s="38" t="s">
        <v>19</v>
      </c>
      <c r="C34" s="30" t="s">
        <v>146</v>
      </c>
      <c r="D34" s="30" t="s">
        <v>14</v>
      </c>
      <c r="E34" s="28" t="s">
        <v>147</v>
      </c>
      <c r="F34" s="31" t="s">
        <v>134</v>
      </c>
      <c r="G34" s="31"/>
      <c r="H34" s="32" t="s">
        <v>3</v>
      </c>
      <c r="I34" s="31"/>
      <c r="J34" s="28"/>
      <c r="K34" s="28"/>
    </row>
    <row r="35" spans="1:11" ht="27.6" x14ac:dyDescent="0.3">
      <c r="A35" s="33" t="s">
        <v>148</v>
      </c>
      <c r="B35" s="38" t="s">
        <v>19</v>
      </c>
      <c r="C35" s="35" t="s">
        <v>149</v>
      </c>
      <c r="D35" s="35" t="s">
        <v>14</v>
      </c>
      <c r="E35" s="33" t="s">
        <v>150</v>
      </c>
      <c r="F35" s="36" t="s">
        <v>134</v>
      </c>
      <c r="G35" s="36"/>
      <c r="H35" s="32" t="s">
        <v>3</v>
      </c>
      <c r="I35" s="36"/>
      <c r="J35" s="33"/>
      <c r="K35" s="33"/>
    </row>
    <row r="36" spans="1:11" ht="27.6" x14ac:dyDescent="0.3">
      <c r="A36" s="28" t="s">
        <v>151</v>
      </c>
      <c r="B36" s="39" t="s">
        <v>21</v>
      </c>
      <c r="C36" s="30" t="s">
        <v>152</v>
      </c>
      <c r="D36" s="30" t="s">
        <v>153</v>
      </c>
      <c r="E36" s="28" t="s">
        <v>154</v>
      </c>
      <c r="F36" s="31" t="s">
        <v>134</v>
      </c>
      <c r="G36" s="31"/>
      <c r="H36" s="32" t="s">
        <v>313</v>
      </c>
      <c r="I36" s="31"/>
      <c r="J36" s="28" t="s">
        <v>155</v>
      </c>
      <c r="K36" s="28"/>
    </row>
    <row r="37" spans="1:11" x14ac:dyDescent="0.3">
      <c r="A37" s="33" t="s">
        <v>156</v>
      </c>
      <c r="B37" s="36"/>
      <c r="C37" s="35" t="s">
        <v>157</v>
      </c>
      <c r="D37" s="35" t="s">
        <v>14</v>
      </c>
      <c r="E37" s="33" t="s">
        <v>158</v>
      </c>
      <c r="F37" s="36" t="s">
        <v>134</v>
      </c>
      <c r="G37" s="36"/>
      <c r="H37" s="32" t="s">
        <v>3</v>
      </c>
      <c r="I37" s="36"/>
      <c r="J37" s="33"/>
      <c r="K37" s="33"/>
    </row>
    <row r="38" spans="1:11" ht="27.6" x14ac:dyDescent="0.3">
      <c r="A38" s="28" t="s">
        <v>159</v>
      </c>
      <c r="B38" s="31"/>
      <c r="C38" s="30" t="s">
        <v>160</v>
      </c>
      <c r="D38" s="30" t="s">
        <v>14</v>
      </c>
      <c r="E38" s="28" t="s">
        <v>150</v>
      </c>
      <c r="F38" s="31" t="s">
        <v>134</v>
      </c>
      <c r="G38" s="31"/>
      <c r="H38" s="32" t="s">
        <v>313</v>
      </c>
      <c r="I38" s="31"/>
      <c r="J38" s="28" t="s">
        <v>161</v>
      </c>
      <c r="K38" s="28"/>
    </row>
    <row r="39" spans="1:11" x14ac:dyDescent="0.3">
      <c r="A39" s="33" t="s">
        <v>162</v>
      </c>
      <c r="B39" s="36"/>
      <c r="C39" s="35" t="s">
        <v>163</v>
      </c>
      <c r="D39" s="35" t="s">
        <v>14</v>
      </c>
      <c r="E39" s="33" t="s">
        <v>164</v>
      </c>
      <c r="F39" s="36" t="s">
        <v>134</v>
      </c>
      <c r="G39" s="36"/>
      <c r="H39" s="32" t="s">
        <v>3</v>
      </c>
      <c r="I39" s="36"/>
      <c r="J39" s="33"/>
      <c r="K39" s="33"/>
    </row>
    <row r="40" spans="1:11" ht="27.6" x14ac:dyDescent="0.3">
      <c r="A40" s="28" t="s">
        <v>165</v>
      </c>
      <c r="B40" s="31"/>
      <c r="C40" s="30" t="s">
        <v>166</v>
      </c>
      <c r="D40" s="30" t="s">
        <v>16</v>
      </c>
      <c r="E40" s="28" t="s">
        <v>167</v>
      </c>
      <c r="F40" s="31" t="s">
        <v>134</v>
      </c>
      <c r="G40" s="31"/>
      <c r="H40" s="32" t="s">
        <v>313</v>
      </c>
      <c r="I40" s="31"/>
      <c r="J40" s="28"/>
      <c r="K40" s="28"/>
    </row>
    <row r="41" spans="1:11" ht="27.6" x14ac:dyDescent="0.3">
      <c r="A41" s="33" t="s">
        <v>168</v>
      </c>
      <c r="B41" s="36"/>
      <c r="C41" s="35" t="s">
        <v>169</v>
      </c>
      <c r="D41" s="35" t="s">
        <v>22</v>
      </c>
      <c r="E41" s="33" t="s">
        <v>170</v>
      </c>
      <c r="F41" s="36" t="s">
        <v>134</v>
      </c>
      <c r="G41" s="36"/>
      <c r="H41" s="32" t="s">
        <v>3</v>
      </c>
      <c r="I41" s="36"/>
      <c r="J41" s="33"/>
      <c r="K41" s="33"/>
    </row>
    <row r="42" spans="1:11" x14ac:dyDescent="0.3">
      <c r="A42" s="28" t="s">
        <v>171</v>
      </c>
      <c r="B42" s="31"/>
      <c r="C42" s="30" t="s">
        <v>172</v>
      </c>
      <c r="D42" s="30" t="s">
        <v>20</v>
      </c>
      <c r="E42" s="28" t="s">
        <v>173</v>
      </c>
      <c r="F42" s="31" t="s">
        <v>134</v>
      </c>
      <c r="G42" s="31"/>
      <c r="H42" s="32" t="s">
        <v>3</v>
      </c>
      <c r="I42" s="31"/>
      <c r="J42" s="28"/>
      <c r="K42" s="28"/>
    </row>
    <row r="43" spans="1:11" x14ac:dyDescent="0.3">
      <c r="A43" s="33" t="s">
        <v>174</v>
      </c>
      <c r="B43" s="36"/>
      <c r="C43" s="35" t="s">
        <v>175</v>
      </c>
      <c r="D43" s="35" t="s">
        <v>16</v>
      </c>
      <c r="E43" s="33" t="s">
        <v>176</v>
      </c>
      <c r="F43" s="36" t="s">
        <v>134</v>
      </c>
      <c r="G43" s="36"/>
      <c r="H43" s="32" t="s">
        <v>3</v>
      </c>
      <c r="I43" s="36"/>
      <c r="J43" s="33"/>
      <c r="K43" s="33"/>
    </row>
    <row r="44" spans="1:11" ht="27.6" x14ac:dyDescent="0.3">
      <c r="A44" s="28" t="s">
        <v>177</v>
      </c>
      <c r="B44" s="31"/>
      <c r="C44" s="30" t="s">
        <v>178</v>
      </c>
      <c r="D44" s="30" t="s">
        <v>22</v>
      </c>
      <c r="E44" s="28" t="s">
        <v>179</v>
      </c>
      <c r="F44" s="31" t="s">
        <v>180</v>
      </c>
      <c r="G44" s="31"/>
      <c r="H44" s="32" t="s">
        <v>313</v>
      </c>
      <c r="I44" s="31"/>
      <c r="J44" s="28" t="s">
        <v>181</v>
      </c>
      <c r="K44" s="28"/>
    </row>
    <row r="45" spans="1:11" x14ac:dyDescent="0.3">
      <c r="A45" s="33" t="s">
        <v>182</v>
      </c>
      <c r="B45" s="36"/>
      <c r="C45" s="35" t="s">
        <v>183</v>
      </c>
      <c r="D45" s="35" t="s">
        <v>22</v>
      </c>
      <c r="E45" s="33" t="s">
        <v>184</v>
      </c>
      <c r="F45" s="36" t="s">
        <v>180</v>
      </c>
      <c r="G45" s="36"/>
      <c r="H45" s="32" t="s">
        <v>3</v>
      </c>
      <c r="I45" s="36"/>
      <c r="J45" s="33"/>
      <c r="K45" s="33"/>
    </row>
    <row r="46" spans="1:11" ht="41.4" x14ac:dyDescent="0.3">
      <c r="A46" s="28" t="s">
        <v>185</v>
      </c>
      <c r="B46" s="31"/>
      <c r="C46" s="30" t="s">
        <v>186</v>
      </c>
      <c r="D46" s="30" t="s">
        <v>14</v>
      </c>
      <c r="E46" s="28" t="s">
        <v>187</v>
      </c>
      <c r="F46" s="31" t="s">
        <v>180</v>
      </c>
      <c r="G46" s="31"/>
      <c r="H46" s="32" t="s">
        <v>313</v>
      </c>
      <c r="I46" s="31"/>
      <c r="J46" s="28" t="s">
        <v>188</v>
      </c>
      <c r="K46" s="28"/>
    </row>
    <row r="47" spans="1:11" ht="27.6" x14ac:dyDescent="0.3">
      <c r="A47" s="33" t="s">
        <v>189</v>
      </c>
      <c r="B47" s="36"/>
      <c r="C47" s="35" t="s">
        <v>190</v>
      </c>
      <c r="D47" s="35" t="s">
        <v>14</v>
      </c>
      <c r="E47" s="33" t="s">
        <v>191</v>
      </c>
      <c r="F47" s="36" t="s">
        <v>192</v>
      </c>
      <c r="G47" s="36"/>
      <c r="H47" s="32" t="s">
        <v>313</v>
      </c>
      <c r="I47" s="36"/>
      <c r="J47" s="33"/>
      <c r="K47" s="33"/>
    </row>
    <row r="48" spans="1:11" x14ac:dyDescent="0.3">
      <c r="A48" s="28" t="s">
        <v>193</v>
      </c>
      <c r="B48" s="31"/>
      <c r="C48" s="30" t="s">
        <v>194</v>
      </c>
      <c r="D48" s="30"/>
      <c r="E48" s="28" t="s">
        <v>195</v>
      </c>
      <c r="F48" s="31" t="s">
        <v>196</v>
      </c>
      <c r="G48" s="31"/>
      <c r="H48" s="32" t="s">
        <v>313</v>
      </c>
      <c r="I48" s="31"/>
      <c r="J48" s="28" t="s">
        <v>197</v>
      </c>
      <c r="K48" s="28"/>
    </row>
    <row r="49" spans="1:11" x14ac:dyDescent="0.3">
      <c r="A49" s="33" t="s">
        <v>198</v>
      </c>
      <c r="B49" s="36"/>
      <c r="C49" s="35" t="s">
        <v>199</v>
      </c>
      <c r="D49" s="35" t="s">
        <v>14</v>
      </c>
      <c r="E49" s="33" t="s">
        <v>200</v>
      </c>
      <c r="F49" s="36" t="s">
        <v>201</v>
      </c>
      <c r="G49" s="36"/>
      <c r="H49" s="32" t="s">
        <v>3</v>
      </c>
      <c r="I49" s="36"/>
      <c r="J49" s="33" t="s">
        <v>202</v>
      </c>
      <c r="K49" s="33"/>
    </row>
    <row r="50" spans="1:11" ht="27.6" x14ac:dyDescent="0.3">
      <c r="A50" s="28" t="s">
        <v>203</v>
      </c>
      <c r="B50" s="31"/>
      <c r="C50" s="30" t="s">
        <v>204</v>
      </c>
      <c r="D50" s="30" t="s">
        <v>205</v>
      </c>
      <c r="E50" s="28" t="s">
        <v>206</v>
      </c>
      <c r="F50" s="31" t="s">
        <v>201</v>
      </c>
      <c r="G50" s="31"/>
      <c r="H50" s="32" t="s">
        <v>3</v>
      </c>
      <c r="I50" s="31"/>
      <c r="J50" s="28"/>
      <c r="K50" s="28"/>
    </row>
    <row r="51" spans="1:11" ht="41.4" x14ac:dyDescent="0.3">
      <c r="A51" s="33" t="s">
        <v>207</v>
      </c>
      <c r="B51" s="36"/>
      <c r="C51" s="35" t="s">
        <v>208</v>
      </c>
      <c r="D51" s="35" t="s">
        <v>205</v>
      </c>
      <c r="E51" s="33" t="s">
        <v>209</v>
      </c>
      <c r="F51" s="36" t="s">
        <v>201</v>
      </c>
      <c r="G51" s="36"/>
      <c r="H51" s="32" t="s">
        <v>3</v>
      </c>
      <c r="I51" s="36"/>
      <c r="J51" s="33"/>
      <c r="K51" s="33"/>
    </row>
    <row r="52" spans="1:11" x14ac:dyDescent="0.3">
      <c r="A52" s="28" t="s">
        <v>210</v>
      </c>
      <c r="B52" s="31"/>
      <c r="C52" s="30" t="s">
        <v>211</v>
      </c>
      <c r="D52" s="30" t="s">
        <v>18</v>
      </c>
      <c r="E52" s="28" t="s">
        <v>212</v>
      </c>
      <c r="F52" s="31" t="s">
        <v>201</v>
      </c>
      <c r="G52" s="31"/>
      <c r="H52" s="32" t="s">
        <v>3</v>
      </c>
      <c r="I52" s="31"/>
      <c r="J52" s="28"/>
      <c r="K52" s="28"/>
    </row>
    <row r="53" spans="1:11" ht="27.6" x14ac:dyDescent="0.3">
      <c r="A53" s="33" t="s">
        <v>213</v>
      </c>
      <c r="B53" s="36"/>
      <c r="C53" s="35" t="s">
        <v>214</v>
      </c>
      <c r="D53" s="35" t="s">
        <v>18</v>
      </c>
      <c r="E53" s="33" t="s">
        <v>215</v>
      </c>
      <c r="F53" s="36" t="s">
        <v>201</v>
      </c>
      <c r="G53" s="36"/>
      <c r="H53" s="32" t="s">
        <v>313</v>
      </c>
      <c r="I53" s="36"/>
      <c r="J53" s="33"/>
      <c r="K53" s="33"/>
    </row>
    <row r="54" spans="1:11" x14ac:dyDescent="0.3">
      <c r="A54" s="28" t="s">
        <v>216</v>
      </c>
      <c r="B54" s="31"/>
      <c r="C54" s="30" t="s">
        <v>217</v>
      </c>
      <c r="D54" s="30" t="s">
        <v>218</v>
      </c>
      <c r="E54" s="28" t="s">
        <v>219</v>
      </c>
      <c r="F54" s="31" t="s">
        <v>201</v>
      </c>
      <c r="G54" s="31"/>
      <c r="H54" s="32" t="s">
        <v>313</v>
      </c>
      <c r="I54" s="31"/>
      <c r="J54" s="28" t="s">
        <v>220</v>
      </c>
      <c r="K54" s="28"/>
    </row>
    <row r="55" spans="1:11" ht="27.6" x14ac:dyDescent="0.3">
      <c r="A55" s="33" t="s">
        <v>221</v>
      </c>
      <c r="B55" s="36"/>
      <c r="C55" s="35" t="s">
        <v>222</v>
      </c>
      <c r="D55" s="35" t="s">
        <v>14</v>
      </c>
      <c r="E55" s="33" t="s">
        <v>223</v>
      </c>
      <c r="F55" s="36" t="s">
        <v>201</v>
      </c>
      <c r="G55" s="36"/>
      <c r="H55" s="32" t="s">
        <v>3</v>
      </c>
      <c r="I55" s="36"/>
      <c r="J55" s="33"/>
      <c r="K55" s="33"/>
    </row>
    <row r="56" spans="1:11" ht="27.6" x14ac:dyDescent="0.3">
      <c r="A56" s="28" t="s">
        <v>224</v>
      </c>
      <c r="B56" s="31"/>
      <c r="C56" s="30" t="s">
        <v>225</v>
      </c>
      <c r="D56" s="30" t="s">
        <v>14</v>
      </c>
      <c r="E56" s="28" t="s">
        <v>226</v>
      </c>
      <c r="F56" s="31" t="s">
        <v>201</v>
      </c>
      <c r="G56" s="31"/>
      <c r="H56" s="32" t="s">
        <v>313</v>
      </c>
      <c r="I56" s="31"/>
      <c r="J56" s="28"/>
      <c r="K56" s="28"/>
    </row>
    <row r="57" spans="1:11" ht="27.6" x14ac:dyDescent="0.3">
      <c r="A57" s="33" t="s">
        <v>227</v>
      </c>
      <c r="B57" s="36"/>
      <c r="C57" s="35" t="s">
        <v>228</v>
      </c>
      <c r="D57" s="35" t="s">
        <v>20</v>
      </c>
      <c r="E57" s="33" t="s">
        <v>229</v>
      </c>
      <c r="F57" s="36" t="s">
        <v>201</v>
      </c>
      <c r="G57" s="36"/>
      <c r="H57" s="32" t="s">
        <v>3</v>
      </c>
      <c r="I57" s="36"/>
      <c r="J57" s="33"/>
      <c r="K57" s="33"/>
    </row>
    <row r="58" spans="1:11" ht="27.6" x14ac:dyDescent="0.3">
      <c r="A58" s="28" t="s">
        <v>230</v>
      </c>
      <c r="B58" s="31"/>
      <c r="C58" s="30" t="s">
        <v>231</v>
      </c>
      <c r="D58" s="30" t="s">
        <v>20</v>
      </c>
      <c r="E58" s="28" t="s">
        <v>232</v>
      </c>
      <c r="F58" s="31" t="s">
        <v>201</v>
      </c>
      <c r="G58" s="31"/>
      <c r="H58" s="32" t="s">
        <v>313</v>
      </c>
      <c r="I58" s="31"/>
      <c r="J58" s="28"/>
      <c r="K58" s="28"/>
    </row>
    <row r="59" spans="1:11" x14ac:dyDescent="0.3">
      <c r="A59" s="33" t="s">
        <v>233</v>
      </c>
      <c r="B59" s="36"/>
      <c r="C59" s="35" t="s">
        <v>234</v>
      </c>
      <c r="D59" s="35" t="s">
        <v>14</v>
      </c>
      <c r="E59" s="33" t="s">
        <v>235</v>
      </c>
      <c r="F59" s="54">
        <v>46162</v>
      </c>
      <c r="G59" s="36"/>
      <c r="H59" s="41" t="s">
        <v>3</v>
      </c>
      <c r="I59" s="36"/>
      <c r="J59" s="33"/>
      <c r="K59" s="33"/>
    </row>
    <row r="60" spans="1:11" x14ac:dyDescent="0.3">
      <c r="A60" s="42" t="s">
        <v>236</v>
      </c>
      <c r="B60" s="43" t="s">
        <v>19</v>
      </c>
      <c r="C60" s="44" t="s">
        <v>237</v>
      </c>
      <c r="D60" s="44" t="s">
        <v>14</v>
      </c>
      <c r="E60" s="42" t="s">
        <v>238</v>
      </c>
      <c r="F60" s="45" t="s">
        <v>239</v>
      </c>
      <c r="G60" s="45"/>
      <c r="H60" s="46" t="s">
        <v>239</v>
      </c>
      <c r="I60" s="45"/>
      <c r="J60" s="42"/>
      <c r="K60" s="42"/>
    </row>
    <row r="61" spans="1:11" ht="27.6" x14ac:dyDescent="0.3">
      <c r="A61" s="42" t="s">
        <v>240</v>
      </c>
      <c r="B61" s="43" t="s">
        <v>21</v>
      </c>
      <c r="C61" s="44" t="s">
        <v>241</v>
      </c>
      <c r="D61" s="44" t="s">
        <v>14</v>
      </c>
      <c r="E61" s="42" t="s">
        <v>242</v>
      </c>
      <c r="F61" s="45" t="s">
        <v>239</v>
      </c>
      <c r="G61" s="45"/>
      <c r="H61" s="46" t="s">
        <v>239</v>
      </c>
      <c r="I61" s="45"/>
      <c r="J61" s="42"/>
      <c r="K61" s="42"/>
    </row>
    <row r="62" spans="1:11" x14ac:dyDescent="0.3">
      <c r="A62" t="s">
        <v>310</v>
      </c>
      <c r="C62" t="s">
        <v>311</v>
      </c>
      <c r="D62" t="s">
        <v>14</v>
      </c>
      <c r="E62" t="s">
        <v>312</v>
      </c>
      <c r="F62" s="55">
        <v>46162</v>
      </c>
      <c r="H62" t="s">
        <v>3</v>
      </c>
    </row>
  </sheetData>
  <autoFilter ref="A5:K61" xr:uid="{00000000-0009-0000-0000-000001000000}"/>
  <mergeCells count="2">
    <mergeCell ref="A1:K1"/>
    <mergeCell ref="A2:K2"/>
  </mergeCells>
  <conditionalFormatting sqref="B6:B111">
    <cfRule type="cellIs" dxfId="14" priority="11" operator="equal">
      <formula>"Sehr gerne"</formula>
    </cfRule>
    <cfRule type="cellIs" dxfId="13" priority="12" operator="equal">
      <formula>"Gerne"</formula>
    </cfRule>
    <cfRule type="cellIs" dxfId="12" priority="13" operator="equal">
      <formula>"Ja"</formula>
    </cfRule>
    <cfRule type="cellIs" dxfId="11" priority="14" operator="equal">
      <formula>"Joa"</formula>
    </cfRule>
    <cfRule type="cellIs" dxfId="10" priority="15" operator="equal">
      <formula>"Eher nicht"</formula>
    </cfRule>
  </conditionalFormatting>
  <conditionalFormatting sqref="G6:G61">
    <cfRule type="expression" dxfId="30" priority="16">
      <formula>AND(ISNUMBER($F6),TODAY()-$F6&gt;28,ISBLANK($G6),$H6="Beworben")</formula>
    </cfRule>
  </conditionalFormatting>
  <conditionalFormatting sqref="H6:H111">
    <cfRule type="cellIs" dxfId="8" priority="2" operator="equal">
      <formula>"Beworben"</formula>
    </cfRule>
    <cfRule type="cellIs" dxfId="7" priority="3" operator="equal">
      <formula>"Nachgefragt"</formula>
    </cfRule>
    <cfRule type="cellIs" dxfId="6" priority="4" operator="equal">
      <formula>"Antwort erhalten"</formula>
    </cfRule>
    <cfRule type="cellIs" dxfId="5" priority="5" operator="equal">
      <formula>"Vorstellungsgespräch"</formula>
    </cfRule>
    <cfRule type="cellIs" dxfId="4" priority="6" operator="equal">
      <formula>"Zusage"</formula>
    </cfRule>
    <cfRule type="cellIs" dxfId="3" priority="7" operator="equal">
      <formula>"Absage"</formula>
    </cfRule>
    <cfRule type="cellIs" dxfId="2" priority="8" operator="equal">
      <formula>"Geplant"</formula>
    </cfRule>
    <cfRule type="cellIs" dxfId="1" priority="9" operator="equal">
      <formula>"Nehmen keine"</formula>
    </cfRule>
    <cfRule type="cellIs" dxfId="0" priority="10" operator="equal">
      <formula>"Neu"</formula>
    </cfRule>
  </conditionalFormatting>
  <dataValidations count="2">
    <dataValidation type="list" allowBlank="1" errorTitle="Ungültiger Status" error="Bitte gültigen Status aus der Liste wählen." promptTitle="Status" prompt="Status der Bewerbung auswählen" sqref="H6:H111" xr:uid="{00000000-0002-0000-0100-000000000000}">
      <formula1>"Beworben,Nachgefragt,Antwort erhalten,Vorstellungsgespräch,Zusage,Absage,Geplant,Nehmen keine"</formula1>
      <formula2>0</formula2>
    </dataValidation>
    <dataValidation type="list" allowBlank="1" promptTitle="Interesse" prompt="Interesse am Unternehmen" sqref="B6:B111" xr:uid="{00000000-0002-0000-0100-000001000000}">
      <formula1>"Sehr gerne,Gerne,Ja,Joa,Eher nicht"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6" sqref="A26"/>
    </sheetView>
  </sheetViews>
  <sheetFormatPr baseColWidth="10" defaultColWidth="8.6640625" defaultRowHeight="14.4" x14ac:dyDescent="0.3"/>
  <cols>
    <col min="1" max="1" width="38" customWidth="1"/>
    <col min="2" max="2" width="45" customWidth="1"/>
    <col min="3" max="3" width="12" customWidth="1"/>
    <col min="4" max="5" width="14" customWidth="1"/>
    <col min="6" max="6" width="70" customWidth="1"/>
  </cols>
  <sheetData>
    <row r="1" spans="1:6" ht="30" customHeight="1" x14ac:dyDescent="0.3">
      <c r="A1" s="52" t="s">
        <v>243</v>
      </c>
      <c r="B1" s="52"/>
      <c r="C1" s="52"/>
      <c r="D1" s="52"/>
      <c r="E1" s="52"/>
      <c r="F1" s="52"/>
    </row>
    <row r="2" spans="1:6" ht="18" customHeight="1" x14ac:dyDescent="0.3">
      <c r="A2" s="53" t="s">
        <v>244</v>
      </c>
      <c r="B2" s="53"/>
      <c r="C2" s="53"/>
      <c r="D2" s="53"/>
      <c r="E2" s="53"/>
      <c r="F2" s="53"/>
    </row>
    <row r="3" spans="1:6" ht="6" customHeight="1" x14ac:dyDescent="0.3"/>
    <row r="5" spans="1:6" ht="27.75" customHeight="1" x14ac:dyDescent="0.3">
      <c r="A5" s="27" t="s">
        <v>38</v>
      </c>
      <c r="B5" s="27" t="s">
        <v>40</v>
      </c>
      <c r="C5" s="27" t="s">
        <v>13</v>
      </c>
      <c r="D5" s="27" t="s">
        <v>42</v>
      </c>
      <c r="E5" s="27" t="s">
        <v>245</v>
      </c>
      <c r="F5" s="27" t="s">
        <v>246</v>
      </c>
    </row>
    <row r="6" spans="1:6" ht="41.4" x14ac:dyDescent="0.3">
      <c r="A6" s="28" t="s">
        <v>247</v>
      </c>
      <c r="B6" s="28" t="s">
        <v>248</v>
      </c>
      <c r="C6" s="31"/>
      <c r="D6" s="47" t="s">
        <v>249</v>
      </c>
      <c r="E6" s="31"/>
      <c r="F6" s="28" t="s">
        <v>250</v>
      </c>
    </row>
    <row r="7" spans="1:6" ht="27.6" x14ac:dyDescent="0.3">
      <c r="A7" s="33" t="s">
        <v>251</v>
      </c>
      <c r="B7" s="33" t="s">
        <v>252</v>
      </c>
      <c r="C7" s="36"/>
      <c r="D7" s="47" t="s">
        <v>249</v>
      </c>
      <c r="E7" s="36"/>
      <c r="F7" s="33" t="s">
        <v>253</v>
      </c>
    </row>
    <row r="8" spans="1:6" ht="41.4" x14ac:dyDescent="0.3">
      <c r="A8" s="28" t="s">
        <v>254</v>
      </c>
      <c r="B8" s="28" t="s">
        <v>255</v>
      </c>
      <c r="C8" s="31"/>
      <c r="D8" s="47" t="s">
        <v>249</v>
      </c>
      <c r="E8" s="31"/>
      <c r="F8" s="28" t="s">
        <v>256</v>
      </c>
    </row>
    <row r="9" spans="1:6" ht="27.6" x14ac:dyDescent="0.3">
      <c r="A9" s="33" t="s">
        <v>257</v>
      </c>
      <c r="B9" s="33" t="s">
        <v>258</v>
      </c>
      <c r="C9" s="36"/>
      <c r="D9" s="47" t="s">
        <v>249</v>
      </c>
      <c r="E9" s="36"/>
      <c r="F9" s="33" t="s">
        <v>259</v>
      </c>
    </row>
    <row r="10" spans="1:6" ht="27.6" x14ac:dyDescent="0.3">
      <c r="A10" s="28" t="s">
        <v>260</v>
      </c>
      <c r="B10" s="28" t="s">
        <v>261</v>
      </c>
      <c r="C10" s="31"/>
      <c r="D10" s="47" t="s">
        <v>249</v>
      </c>
      <c r="E10" s="31"/>
      <c r="F10" s="28" t="s">
        <v>262</v>
      </c>
    </row>
    <row r="11" spans="1:6" ht="41.4" x14ac:dyDescent="0.3">
      <c r="A11" s="33" t="s">
        <v>263</v>
      </c>
      <c r="B11" s="33" t="s">
        <v>264</v>
      </c>
      <c r="C11" s="36"/>
      <c r="D11" s="47" t="s">
        <v>249</v>
      </c>
      <c r="E11" s="36"/>
      <c r="F11" s="33" t="s">
        <v>265</v>
      </c>
    </row>
    <row r="12" spans="1:6" ht="27.6" x14ac:dyDescent="0.3">
      <c r="A12" s="28" t="s">
        <v>266</v>
      </c>
      <c r="B12" s="28" t="s">
        <v>267</v>
      </c>
      <c r="C12" s="31"/>
      <c r="D12" s="47" t="s">
        <v>249</v>
      </c>
      <c r="E12" s="31"/>
      <c r="F12" s="28" t="s">
        <v>268</v>
      </c>
    </row>
    <row r="13" spans="1:6" ht="27.6" x14ac:dyDescent="0.3">
      <c r="A13" s="33" t="s">
        <v>269</v>
      </c>
      <c r="B13" s="33" t="s">
        <v>270</v>
      </c>
      <c r="C13" s="36"/>
      <c r="D13" s="47" t="s">
        <v>249</v>
      </c>
      <c r="E13" s="36"/>
      <c r="F13" s="33" t="s">
        <v>271</v>
      </c>
    </row>
    <row r="14" spans="1:6" ht="27.6" x14ac:dyDescent="0.3">
      <c r="A14" s="28" t="s">
        <v>272</v>
      </c>
      <c r="B14" s="28" t="s">
        <v>273</v>
      </c>
      <c r="C14" s="31"/>
      <c r="D14" s="47" t="s">
        <v>249</v>
      </c>
      <c r="E14" s="31"/>
      <c r="F14" s="28" t="s">
        <v>274</v>
      </c>
    </row>
    <row r="15" spans="1:6" ht="27.6" x14ac:dyDescent="0.3">
      <c r="A15" s="33" t="s">
        <v>275</v>
      </c>
      <c r="B15" s="33" t="s">
        <v>276</v>
      </c>
      <c r="C15" s="36"/>
      <c r="D15" s="47" t="s">
        <v>249</v>
      </c>
      <c r="E15" s="36"/>
      <c r="F15" s="33" t="s">
        <v>277</v>
      </c>
    </row>
    <row r="16" spans="1:6" ht="27.6" x14ac:dyDescent="0.3">
      <c r="A16" s="28" t="s">
        <v>278</v>
      </c>
      <c r="B16" s="28" t="s">
        <v>279</v>
      </c>
      <c r="C16" s="31"/>
      <c r="D16" s="47" t="s">
        <v>249</v>
      </c>
      <c r="E16" s="31"/>
      <c r="F16" s="28" t="s">
        <v>280</v>
      </c>
    </row>
    <row r="17" spans="1:6" ht="27.6" x14ac:dyDescent="0.3">
      <c r="A17" s="33" t="s">
        <v>281</v>
      </c>
      <c r="B17" s="33" t="s">
        <v>282</v>
      </c>
      <c r="C17" s="36"/>
      <c r="D17" s="47" t="s">
        <v>249</v>
      </c>
      <c r="E17" s="36"/>
      <c r="F17" s="33" t="s">
        <v>283</v>
      </c>
    </row>
    <row r="18" spans="1:6" ht="27.6" x14ac:dyDescent="0.3">
      <c r="A18" s="28" t="s">
        <v>284</v>
      </c>
      <c r="B18" s="28" t="s">
        <v>285</v>
      </c>
      <c r="C18" s="31"/>
      <c r="D18" s="47" t="s">
        <v>249</v>
      </c>
      <c r="E18" s="31"/>
      <c r="F18" s="28" t="s">
        <v>286</v>
      </c>
    </row>
    <row r="19" spans="1:6" ht="27.6" x14ac:dyDescent="0.3">
      <c r="A19" s="33" t="s">
        <v>287</v>
      </c>
      <c r="B19" s="33" t="s">
        <v>18</v>
      </c>
      <c r="C19" s="36"/>
      <c r="D19" s="47" t="s">
        <v>249</v>
      </c>
      <c r="E19" s="36"/>
      <c r="F19" s="33" t="s">
        <v>288</v>
      </c>
    </row>
    <row r="20" spans="1:6" ht="27.6" x14ac:dyDescent="0.3">
      <c r="A20" s="28" t="s">
        <v>289</v>
      </c>
      <c r="B20" s="28" t="s">
        <v>290</v>
      </c>
      <c r="C20" s="31"/>
      <c r="D20" s="47" t="s">
        <v>249</v>
      </c>
      <c r="E20" s="31"/>
      <c r="F20" s="28" t="s">
        <v>291</v>
      </c>
    </row>
    <row r="21" spans="1:6" ht="27.6" x14ac:dyDescent="0.3">
      <c r="A21" s="33" t="s">
        <v>292</v>
      </c>
      <c r="B21" s="33" t="s">
        <v>293</v>
      </c>
      <c r="C21" s="36"/>
      <c r="D21" s="47" t="s">
        <v>249</v>
      </c>
      <c r="E21" s="36"/>
      <c r="F21" s="33" t="s">
        <v>294</v>
      </c>
    </row>
    <row r="22" spans="1:6" ht="27.6" x14ac:dyDescent="0.3">
      <c r="A22" s="28" t="s">
        <v>295</v>
      </c>
      <c r="B22" s="28" t="s">
        <v>296</v>
      </c>
      <c r="C22" s="31"/>
      <c r="D22" s="47" t="s">
        <v>249</v>
      </c>
      <c r="E22" s="31"/>
      <c r="F22" s="28" t="s">
        <v>297</v>
      </c>
    </row>
    <row r="23" spans="1:6" ht="27.6" x14ac:dyDescent="0.3">
      <c r="A23" s="33" t="s">
        <v>298</v>
      </c>
      <c r="B23" s="33" t="s">
        <v>299</v>
      </c>
      <c r="C23" s="36"/>
      <c r="D23" s="47" t="s">
        <v>249</v>
      </c>
      <c r="E23" s="36"/>
      <c r="F23" s="33" t="s">
        <v>300</v>
      </c>
    </row>
    <row r="24" spans="1:6" ht="27.6" x14ac:dyDescent="0.3">
      <c r="A24" s="28" t="s">
        <v>301</v>
      </c>
      <c r="B24" s="28" t="s">
        <v>302</v>
      </c>
      <c r="C24" s="31"/>
      <c r="D24" s="47" t="s">
        <v>249</v>
      </c>
      <c r="E24" s="31"/>
      <c r="F24" s="28" t="s">
        <v>303</v>
      </c>
    </row>
    <row r="25" spans="1:6" ht="27.6" x14ac:dyDescent="0.3">
      <c r="A25" s="33" t="s">
        <v>304</v>
      </c>
      <c r="B25" s="33" t="s">
        <v>305</v>
      </c>
      <c r="C25" s="36"/>
      <c r="D25" s="47" t="s">
        <v>249</v>
      </c>
      <c r="E25" s="36"/>
      <c r="F25" s="33" t="s">
        <v>306</v>
      </c>
    </row>
    <row r="26" spans="1:6" ht="27.6" x14ac:dyDescent="0.3">
      <c r="A26" s="28" t="s">
        <v>307</v>
      </c>
      <c r="B26" s="28" t="s">
        <v>308</v>
      </c>
      <c r="C26" s="31"/>
      <c r="D26" s="47" t="s">
        <v>249</v>
      </c>
      <c r="E26" s="31"/>
      <c r="F26" s="28" t="s">
        <v>309</v>
      </c>
    </row>
  </sheetData>
  <autoFilter ref="A5:F26" xr:uid="{00000000-0009-0000-0000-000002000000}"/>
  <mergeCells count="2">
    <mergeCell ref="A1:F1"/>
    <mergeCell ref="A2:F2"/>
  </mergeCells>
  <conditionalFormatting sqref="C6:C76">
    <cfRule type="cellIs" dxfId="29" priority="12" operator="equal">
      <formula>"Sehr gerne"</formula>
    </cfRule>
    <cfRule type="cellIs" dxfId="28" priority="13" operator="equal">
      <formula>"Gerne"</formula>
    </cfRule>
    <cfRule type="cellIs" dxfId="27" priority="14" operator="equal">
      <formula>"Ja"</formula>
    </cfRule>
    <cfRule type="cellIs" dxfId="26" priority="15" operator="equal">
      <formula>"Joa"</formula>
    </cfRule>
    <cfRule type="cellIs" dxfId="25" priority="16" operator="equal">
      <formula>"Eher nicht"</formula>
    </cfRule>
  </conditionalFormatting>
  <conditionalFormatting sqref="D6:D76">
    <cfRule type="cellIs" dxfId="24" priority="2" operator="equal">
      <formula>"Beworben"</formula>
    </cfRule>
    <cfRule type="cellIs" dxfId="23" priority="3" operator="equal">
      <formula>"Nachgefragt"</formula>
    </cfRule>
    <cfRule type="cellIs" dxfId="22" priority="4" operator="equal">
      <formula>"Antwort erhalten"</formula>
    </cfRule>
    <cfRule type="cellIs" dxfId="21" priority="5" operator="equal">
      <formula>"Vorstellungsgespräch"</formula>
    </cfRule>
    <cfRule type="cellIs" dxfId="20" priority="6" operator="equal">
      <formula>"Zusage"</formula>
    </cfRule>
    <cfRule type="cellIs" dxfId="19" priority="7" operator="equal">
      <formula>"Absage"</formula>
    </cfRule>
    <cfRule type="cellIs" dxfId="18" priority="8" operator="equal">
      <formula>"Geplant"</formula>
    </cfRule>
    <cfRule type="cellIs" dxfId="17" priority="9" operator="equal">
      <formula>"Nehmen keine"</formula>
    </cfRule>
    <cfRule type="cellIs" dxfId="16" priority="10" operator="equal">
      <formula>"Neu"</formula>
    </cfRule>
    <cfRule type="cellIs" dxfId="15" priority="11" operator="equal">
      <formula>"Recherchiert"</formula>
    </cfRule>
  </conditionalFormatting>
  <dataValidations count="2">
    <dataValidation type="list" allowBlank="1" prompt="Aktueller Bearbeitungsstand" sqref="D6:D76" xr:uid="{00000000-0002-0000-0200-000000000000}">
      <formula1>"Neu,Recherchiert,Beworben,Nehmen keine"</formula1>
      <formula2>0</formula2>
    </dataValidation>
    <dataValidation type="list" allowBlank="1" sqref="C6:C76" xr:uid="{00000000-0002-0000-0200-000001000000}">
      <formula1>"Sehr gerne,Gerne,Ja,Joa,Eher nicht"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📊 Dashboard</vt:lpstr>
      <vt:lpstr>Aktive Bewerbungen</vt:lpstr>
      <vt:lpstr>Pipeline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Busse Nele</cp:lastModifiedBy>
  <cp:revision>0</cp:revision>
  <dcterms:created xsi:type="dcterms:W3CDTF">2026-05-20T07:31:27Z</dcterms:created>
  <dcterms:modified xsi:type="dcterms:W3CDTF">2026-05-21T05:47:42Z</dcterms:modified>
  <cp:category/>
  <cp:contentStatus/>
</cp:coreProperties>
</file>